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cgarro\Desktop\Automation\Wave-PQ\"/>
    </mc:Choice>
  </mc:AlternateContent>
  <xr:revisionPtr revIDLastSave="0" documentId="13_ncr:1_{570E2D7B-DDBD-4003-9B95-F8D34ED3F420}" xr6:coauthVersionLast="47" xr6:coauthVersionMax="47" xr10:uidLastSave="{00000000-0000-0000-0000-000000000000}"/>
  <bookViews>
    <workbookView xWindow="-120" yWindow="-120" windowWidth="29040" windowHeight="15840" tabRatio="570" xr2:uid="{FADCAC38-D830-44B0-8978-FF3340A77E78}"/>
  </bookViews>
  <sheets>
    <sheet name="Main" sheetId="1" r:id="rId1"/>
    <sheet name="Comparison Table" sheetId="10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4" i="1" l="1" a="1"/>
  <c r="K34" i="1" s="1"/>
  <c r="K33" i="1" a="1"/>
  <c r="K33" i="1" s="1"/>
  <c r="K32" i="1" a="1"/>
  <c r="K32" i="1" s="1"/>
  <c r="K31" i="1" a="1"/>
  <c r="K31" i="1" s="1"/>
  <c r="K30" i="1" a="1"/>
  <c r="K30" i="1" s="1"/>
  <c r="K29" i="1" a="1"/>
  <c r="K29" i="1" s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K22" i="1" a="1"/>
  <c r="K22" i="1" s="1"/>
  <c r="K21" i="1" a="1"/>
  <c r="K21" i="1" s="1"/>
  <c r="K20" i="1" a="1"/>
  <c r="K20" i="1" s="1"/>
  <c r="K19" i="1" a="1"/>
  <c r="K19" i="1" s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K12" i="1" a="1"/>
  <c r="K12" i="1" s="1"/>
  <c r="K11" i="1" a="1"/>
  <c r="K11" i="1" s="1"/>
  <c r="K10" i="1" a="1"/>
  <c r="K10" i="1" s="1"/>
  <c r="K9" i="1" a="1"/>
  <c r="K9" i="1" s="1"/>
  <c r="K8" i="1" a="1"/>
  <c r="K8" i="1" s="1"/>
  <c r="G3" i="10" a="1"/>
  <c r="G3" i="10" s="1"/>
  <c r="B3" i="10" l="1" a="1"/>
  <c r="B3" i="10" s="1"/>
  <c r="F3" i="10" a="1"/>
  <c r="F3" i="10" s="1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4" i="10"/>
  <c r="D4" i="10"/>
  <c r="C4" i="10"/>
  <c r="E3" i="10"/>
  <c r="D3" i="10"/>
  <c r="C3" i="10"/>
  <c r="B4" i="10" l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<sst xmlns="http://schemas.openxmlformats.org/spreadsheetml/2006/main" count="69" uniqueCount="51">
  <si>
    <t>Shark 200</t>
  </si>
  <si>
    <t>Shark 250</t>
  </si>
  <si>
    <t>Nexus 1450</t>
  </si>
  <si>
    <t>Nexus 1500+</t>
  </si>
  <si>
    <t xml:space="preserve">Channel </t>
  </si>
  <si>
    <t>Va</t>
  </si>
  <si>
    <t>Ia</t>
  </si>
  <si>
    <t>Vb</t>
  </si>
  <si>
    <t>Ib</t>
  </si>
  <si>
    <t>Vc</t>
  </si>
  <si>
    <t>Ic</t>
  </si>
  <si>
    <t>Expected</t>
  </si>
  <si>
    <t>Shark270</t>
  </si>
  <si>
    <t>Wave #</t>
  </si>
  <si>
    <t>Threshold</t>
  </si>
  <si>
    <t>Duration (ms)</t>
  </si>
  <si>
    <t>% Value</t>
  </si>
  <si>
    <t>Enter Values</t>
  </si>
  <si>
    <t>3 Phase System</t>
  </si>
  <si>
    <t>Results</t>
  </si>
  <si>
    <t>Status</t>
  </si>
  <si>
    <t>Configuration</t>
  </si>
  <si>
    <t>Parameters</t>
  </si>
  <si>
    <t>Controls</t>
  </si>
  <si>
    <t>Input Event</t>
  </si>
  <si>
    <t>Waveform-Power Quality Analyzer</t>
  </si>
  <si>
    <t>Meter 6</t>
  </si>
  <si>
    <t>Meter 7</t>
  </si>
  <si>
    <t>Meter 8</t>
  </si>
  <si>
    <t>Meter 9</t>
  </si>
  <si>
    <t>Meter 10</t>
  </si>
  <si>
    <t>Meter 11</t>
  </si>
  <si>
    <t>Meter 12</t>
  </si>
  <si>
    <t>Meter 13</t>
  </si>
  <si>
    <t>Meter 14</t>
  </si>
  <si>
    <t>Meter 15</t>
  </si>
  <si>
    <t>Meter 16</t>
  </si>
  <si>
    <t xml:space="preserve">Voltage (V)    </t>
  </si>
  <si>
    <t xml:space="preserve">Current (A)     </t>
  </si>
  <si>
    <t xml:space="preserve">Base Profile (logic) </t>
  </si>
  <si>
    <t>Frequency (Hz)</t>
  </si>
  <si>
    <t xml:space="preserve">Sample/t  </t>
  </si>
  <si>
    <t>Default</t>
  </si>
  <si>
    <t>Type</t>
  </si>
  <si>
    <t>Meter Name</t>
  </si>
  <si>
    <t>Meter 4</t>
  </si>
  <si>
    <t>Meter 5</t>
  </si>
  <si>
    <t>Meter 2</t>
  </si>
  <si>
    <t>Meter 3</t>
  </si>
  <si>
    <t xml:space="preserve">Event | Time | Dur | Dur </t>
  </si>
  <si>
    <t>Meter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</si>
</sst>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Corbel"/>
      <family val="2"/>
    </font>
    <font>
      <sz val="12"/>
      <name val="Corbel"/>
      <family val="2"/>
    </font>
    <font>
      <sz val="12"/>
      <color theme="1"/>
      <name val="Aptos Narrow"/>
      <family val="2"/>
      <scheme val="minor"/>
    </font>
    <font>
      <sz val="12"/>
      <color theme="1"/>
      <name val="Aptos"/>
      <family val="2"/>
    </font>
    <font>
      <sz val="12"/>
      <color theme="0"/>
      <name val="Corbel"/>
      <family val="2"/>
    </font>
    <font>
      <sz val="16"/>
      <name val="Lucida Console"/>
      <family val="3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C9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100"/>
        <bgColor indexed="64"/>
      </patternFill>
    </fill>
    <fill>
      <patternFill patternType="solid">
        <fgColor rgb="FFE5D36B"/>
        <bgColor indexed="64"/>
      </patternFill>
    </fill>
    <fill>
      <patternFill patternType="solid">
        <fgColor rgb="FFFBD934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164" fontId="1" fillId="4" borderId="1" xfId="1" applyNumberFormat="1" applyFont="1" applyFill="1" applyBorder="1" applyAlignment="1">
      <alignment horizontal="center" wrapText="1"/>
    </xf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left" wrapText="1"/>
    </xf>
    <xf numFmtId="164" fontId="0" fillId="0" borderId="0" xfId="0" applyNumberFormat="1" applyAlignment="1">
      <alignment horizontal="left" wrapText="1"/>
    </xf>
    <xf numFmtId="0" fontId="0" fillId="0" borderId="1" xfId="0" applyBorder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7" borderId="15" xfId="2" applyFont="1" applyFill="1" applyBorder="1" applyAlignment="1">
      <alignment horizontal="left"/>
    </xf>
    <xf numFmtId="0" fontId="6" fillId="7" borderId="16" xfId="2" applyFont="1" applyFill="1" applyBorder="1" applyAlignment="1">
      <alignment horizontal="left"/>
    </xf>
    <xf numFmtId="0" fontId="6" fillId="7" borderId="17" xfId="2" applyFont="1" applyFill="1" applyBorder="1" applyAlignment="1">
      <alignment horizontal="left"/>
    </xf>
    <xf numFmtId="0" fontId="7" fillId="0" borderId="0" xfId="0" applyFont="1"/>
    <xf numFmtId="0" fontId="6" fillId="7" borderId="18" xfId="2" applyFont="1" applyFill="1" applyBorder="1" applyAlignment="1">
      <alignment horizontal="left"/>
    </xf>
    <xf numFmtId="0" fontId="6" fillId="7" borderId="0" xfId="2" applyFont="1" applyFill="1" applyBorder="1" applyAlignment="1">
      <alignment horizontal="centerContinuous" vertical="center"/>
    </xf>
    <xf numFmtId="0" fontId="6" fillId="7" borderId="0" xfId="2" applyFont="1" applyFill="1" applyBorder="1" applyAlignment="1">
      <alignment horizontal="left"/>
    </xf>
    <xf numFmtId="0" fontId="6" fillId="7" borderId="19" xfId="2" applyFont="1" applyFill="1" applyBorder="1" applyAlignment="1">
      <alignment horizontal="left"/>
    </xf>
    <xf numFmtId="0" fontId="6" fillId="9" borderId="29" xfId="2" applyFont="1" applyFill="1" applyBorder="1" applyAlignment="1">
      <alignment horizontal="center"/>
    </xf>
    <xf numFmtId="0" fontId="6" fillId="9" borderId="12" xfId="2" applyFont="1" applyFill="1" applyBorder="1" applyAlignment="1">
      <alignment horizontal="centerContinuous"/>
    </xf>
    <xf numFmtId="0" fontId="6" fillId="9" borderId="13" xfId="2" applyFont="1" applyFill="1" applyBorder="1" applyAlignment="1">
      <alignment horizontal="centerContinuous"/>
    </xf>
    <xf numFmtId="0" fontId="6" fillId="9" borderId="14" xfId="2" applyFont="1" applyFill="1" applyBorder="1" applyAlignment="1">
      <alignment horizontal="centerContinuous"/>
    </xf>
    <xf numFmtId="0" fontId="6" fillId="7" borderId="30" xfId="2" applyFont="1" applyFill="1" applyBorder="1" applyAlignment="1">
      <alignment horizontal="left"/>
    </xf>
    <xf numFmtId="0" fontId="6" fillId="9" borderId="24" xfId="2" applyFont="1" applyFill="1" applyBorder="1" applyAlignment="1">
      <alignment horizontal="left"/>
    </xf>
    <xf numFmtId="0" fontId="6" fillId="9" borderId="26" xfId="2" applyFont="1" applyFill="1" applyBorder="1" applyAlignment="1">
      <alignment horizontal="center"/>
    </xf>
    <xf numFmtId="0" fontId="6" fillId="9" borderId="3" xfId="2" applyFont="1" applyFill="1" applyBorder="1" applyAlignment="1">
      <alignment horizontal="center"/>
    </xf>
    <xf numFmtId="0" fontId="6" fillId="9" borderId="4" xfId="2" applyFont="1" applyFill="1" applyBorder="1" applyAlignment="1">
      <alignment horizontal="center"/>
    </xf>
    <xf numFmtId="0" fontId="6" fillId="9" borderId="9" xfId="2" applyFont="1" applyFill="1" applyBorder="1" applyAlignment="1">
      <alignment horizontal="center"/>
    </xf>
    <xf numFmtId="0" fontId="6" fillId="8" borderId="23" xfId="2" applyFont="1" applyFill="1" applyBorder="1" applyAlignment="1">
      <alignment horizontal="left"/>
    </xf>
    <xf numFmtId="0" fontId="8" fillId="0" borderId="10" xfId="0" applyFont="1" applyBorder="1" applyAlignment="1">
      <alignment horizontal="center"/>
    </xf>
    <xf numFmtId="0" fontId="6" fillId="8" borderId="5" xfId="2" applyFont="1" applyFill="1" applyBorder="1" applyAlignment="1">
      <alignment horizontal="left"/>
    </xf>
    <xf numFmtId="0" fontId="6" fillId="7" borderId="31" xfId="2" applyFont="1" applyFill="1" applyBorder="1" applyAlignment="1">
      <alignment horizontal="left"/>
    </xf>
    <xf numFmtId="0" fontId="6" fillId="8" borderId="7" xfId="2" applyFont="1" applyFill="1" applyBorder="1" applyAlignment="1">
      <alignment horizontal="left"/>
    </xf>
    <xf numFmtId="0" fontId="6" fillId="9" borderId="24" xfId="2" applyFont="1" applyFill="1" applyBorder="1" applyAlignment="1">
      <alignment horizontal="center"/>
    </xf>
    <xf numFmtId="0" fontId="6" fillId="9" borderId="25" xfId="2" applyFont="1" applyFill="1" applyBorder="1" applyAlignment="1">
      <alignment horizontal="center"/>
    </xf>
    <xf numFmtId="0" fontId="6" fillId="9" borderId="28" xfId="2" applyFont="1" applyFill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6" fillId="7" borderId="20" xfId="2" applyFont="1" applyFill="1" applyBorder="1" applyAlignment="1">
      <alignment horizontal="left"/>
    </xf>
    <xf numFmtId="0" fontId="6" fillId="7" borderId="21" xfId="2" applyFont="1" applyFill="1" applyBorder="1" applyAlignment="1">
      <alignment horizontal="left"/>
    </xf>
    <xf numFmtId="0" fontId="6" fillId="7" borderId="22" xfId="2" applyFont="1" applyFill="1" applyBorder="1" applyAlignment="1">
      <alignment horizontal="left"/>
    </xf>
    <xf numFmtId="0" fontId="6" fillId="7" borderId="32" xfId="2" applyFont="1" applyFill="1" applyBorder="1" applyAlignment="1">
      <alignment horizontal="left"/>
    </xf>
    <xf numFmtId="0" fontId="10" fillId="7" borderId="0" xfId="2" applyFont="1" applyFill="1" applyBorder="1" applyAlignment="1">
      <alignment horizontal="centerContinuous" vertical="center"/>
    </xf>
    <xf numFmtId="0" fontId="8" fillId="0" borderId="27" xfId="0" applyFont="1" applyBorder="1" applyAlignment="1" applyProtection="1">
      <alignment horizontal="center"/>
      <protection locked="0"/>
    </xf>
    <xf numFmtId="0" fontId="8" fillId="0" borderId="6" xfId="0" applyFont="1" applyBorder="1" applyAlignment="1" applyProtection="1">
      <alignment horizontal="center"/>
      <protection locked="0"/>
    </xf>
    <xf numFmtId="10" fontId="8" fillId="0" borderId="6" xfId="0" applyNumberFormat="1" applyFont="1" applyBorder="1" applyAlignment="1" applyProtection="1">
      <alignment horizontal="center"/>
      <protection locked="0"/>
    </xf>
    <xf numFmtId="0" fontId="8" fillId="0" borderId="8" xfId="0" applyFont="1" applyBorder="1" applyAlignment="1" applyProtection="1">
      <alignment horizontal="center"/>
      <protection locked="0"/>
    </xf>
    <xf numFmtId="0" fontId="6" fillId="8" borderId="23" xfId="2" applyFont="1" applyFill="1" applyBorder="1" applyAlignment="1" applyProtection="1">
      <alignment horizontal="left"/>
      <protection locked="0"/>
    </xf>
    <xf numFmtId="0" fontId="6" fillId="8" borderId="5" xfId="2" applyFont="1" applyFill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/>
      <protection locked="0"/>
    </xf>
    <xf numFmtId="9" fontId="8" fillId="0" borderId="6" xfId="0" applyNumberFormat="1" applyFont="1" applyBorder="1" applyAlignment="1" applyProtection="1">
      <alignment horizontal="center"/>
      <protection locked="0"/>
    </xf>
    <xf numFmtId="0" fontId="8" fillId="0" borderId="7" xfId="0" applyFont="1" applyBorder="1" applyAlignment="1" applyProtection="1">
      <alignment horizontal="center"/>
      <protection locked="0"/>
    </xf>
    <xf numFmtId="0" fontId="9" fillId="6" borderId="2" xfId="0" applyFont="1" applyFill="1" applyBorder="1" applyAlignment="1" applyProtection="1">
      <alignment horizontal="center" vertical="center"/>
      <protection locked="0"/>
    </xf>
    <xf numFmtId="0" fontId="5" fillId="6" borderId="2" xfId="0" applyFont="1" applyFill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Protection="1">
      <protection locked="0"/>
    </xf>
    <xf numFmtId="0" fontId="6" fillId="0" borderId="18" xfId="2" applyFont="1" applyFill="1" applyBorder="1" applyAlignment="1">
      <alignment horizontal="left"/>
    </xf>
    <xf numFmtId="0" fontId="6" fillId="0" borderId="20" xfId="2" applyFont="1" applyFill="1" applyBorder="1" applyAlignment="1">
      <alignment horizontal="left"/>
    </xf>
    <xf numFmtId="0" fontId="6" fillId="0" borderId="0" xfId="2" applyFont="1" applyFill="1" applyBorder="1" applyAlignment="1">
      <alignment horizontal="left"/>
    </xf>
    <xf numFmtId="0" fontId="6" fillId="0" borderId="0" xfId="2" applyFont="1" applyFill="1" applyBorder="1" applyAlignment="1">
      <alignment horizontal="centerContinuous" vertical="center"/>
    </xf>
    <xf numFmtId="0" fontId="6" fillId="0" borderId="21" xfId="2" applyFont="1" applyFill="1" applyBorder="1" applyAlignment="1">
      <alignment horizontal="left"/>
    </xf>
    <xf numFmtId="0" fontId="6" fillId="0" borderId="22" xfId="2" applyFont="1" applyFill="1" applyBorder="1" applyAlignment="1">
      <alignment horizontal="left"/>
    </xf>
    <xf numFmtId="0" fontId="6" fillId="0" borderId="19" xfId="2" applyFont="1" applyFill="1" applyBorder="1" applyAlignment="1">
      <alignment horizontal="left"/>
    </xf>
    <xf numFmtId="0" fontId="6" fillId="7" borderId="21" xfId="2" applyFont="1" applyFill="1" applyBorder="1" applyAlignment="1">
      <alignment horizontal="centerContinuous" vertical="center"/>
    </xf>
    <xf numFmtId="0" fontId="5" fillId="0" borderId="27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6" xfId="0" applyFont="1" applyBorder="1" applyProtection="1">
      <protection locked="0"/>
    </xf>
    <xf numFmtId="0" fontId="6" fillId="8" borderId="7" xfId="2" applyFont="1" applyFill="1" applyBorder="1" applyAlignment="1" applyProtection="1">
      <alignment horizontal="left"/>
      <protection locked="0"/>
    </xf>
    <xf numFmtId="0" fontId="9" fillId="0" borderId="33" xfId="0" applyFont="1" applyBorder="1" applyProtection="1">
      <protection locked="0"/>
    </xf>
    <xf numFmtId="0" fontId="5" fillId="6" borderId="34" xfId="0" applyFont="1" applyFill="1" applyBorder="1" applyAlignment="1" applyProtection="1">
      <alignment horizontal="center" vertical="center"/>
      <protection locked="0"/>
    </xf>
    <xf numFmtId="0" fontId="5" fillId="0" borderId="8" xfId="0" applyFont="1" applyBorder="1" applyProtection="1">
      <protection locked="0"/>
    </xf>
    <xf numFmtId="0" fontId="6" fillId="0" borderId="0" xfId="2" applyFont="1" applyFill="1" applyBorder="1" applyAlignment="1">
      <alignment horizontal="centerContinuous" vertical="center" wrapText="1"/>
    </xf>
    <xf numFmtId="0" fontId="5" fillId="0" borderId="0" xfId="0" applyFont="1" applyAlignment="1">
      <alignment horizontal="centerContinuous" vertical="center"/>
    </xf>
    <xf numFmtId="0" fontId="6" fillId="9" borderId="12" xfId="2" applyFont="1" applyFill="1" applyBorder="1" applyAlignment="1">
      <alignment horizontal="center"/>
    </xf>
    <xf numFmtId="0" fontId="6" fillId="9" borderId="14" xfId="2" applyFont="1" applyFill="1" applyBorder="1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5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5D36B"/>
      <color rgb="FFFFFFFF"/>
      <color rgb="FFFBD934"/>
      <color rgb="FFFFD100"/>
      <color rgb="FFFF9900"/>
      <color rgb="FFFAA3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4.emf"/><Relationship Id="rId18" Type="http://schemas.openxmlformats.org/officeDocument/2006/relationships/image" Target="../media/image19.emf"/><Relationship Id="rId3" Type="http://schemas.openxmlformats.org/officeDocument/2006/relationships/image" Target="../media/image14.emf"/><Relationship Id="rId21" Type="http://schemas.openxmlformats.org/officeDocument/2006/relationships/image" Target="../media/image16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17" Type="http://schemas.openxmlformats.org/officeDocument/2006/relationships/image" Target="../media/image18.emf"/><Relationship Id="rId2" Type="http://schemas.openxmlformats.org/officeDocument/2006/relationships/image" Target="../media/image15.emf"/><Relationship Id="rId16" Type="http://schemas.openxmlformats.org/officeDocument/2006/relationships/image" Target="../media/image1.emf"/><Relationship Id="rId20" Type="http://schemas.openxmlformats.org/officeDocument/2006/relationships/image" Target="../media/image21.emf"/><Relationship Id="rId1" Type="http://schemas.openxmlformats.org/officeDocument/2006/relationships/image" Target="../media/image17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2.emf"/><Relationship Id="rId15" Type="http://schemas.openxmlformats.org/officeDocument/2006/relationships/image" Target="../media/image2.emf"/><Relationship Id="rId10" Type="http://schemas.openxmlformats.org/officeDocument/2006/relationships/image" Target="../media/image7.emf"/><Relationship Id="rId19" Type="http://schemas.openxmlformats.org/officeDocument/2006/relationships/image" Target="../media/image20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3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6</xdr:row>
          <xdr:rowOff>85725</xdr:rowOff>
        </xdr:from>
        <xdr:to>
          <xdr:col>5</xdr:col>
          <xdr:colOff>666750</xdr:colOff>
          <xdr:row>7</xdr:row>
          <xdr:rowOff>95250</xdr:rowOff>
        </xdr:to>
        <xdr:sp macro="" textlink="">
          <xdr:nvSpPr>
            <xdr:cNvPr id="1026" name="Im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6</xdr:row>
          <xdr:rowOff>95250</xdr:rowOff>
        </xdr:from>
        <xdr:to>
          <xdr:col>5</xdr:col>
          <xdr:colOff>1285875</xdr:colOff>
          <xdr:row>7</xdr:row>
          <xdr:rowOff>95250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7</xdr:row>
          <xdr:rowOff>171450</xdr:rowOff>
        </xdr:from>
        <xdr:to>
          <xdr:col>5</xdr:col>
          <xdr:colOff>657225</xdr:colOff>
          <xdr:row>8</xdr:row>
          <xdr:rowOff>171450</xdr:rowOff>
        </xdr:to>
        <xdr:sp macro="" textlink="">
          <xdr:nvSpPr>
            <xdr:cNvPr id="1030" name="Clearbu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9</xdr:row>
          <xdr:rowOff>104775</xdr:rowOff>
        </xdr:from>
        <xdr:to>
          <xdr:col>5</xdr:col>
          <xdr:colOff>1285875</xdr:colOff>
          <xdr:row>10</xdr:row>
          <xdr:rowOff>104775</xdr:rowOff>
        </xdr:to>
        <xdr:sp macro="" textlink="">
          <xdr:nvSpPr>
            <xdr:cNvPr id="1039" name="Rese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96510</xdr:colOff>
      <xdr:row>2</xdr:row>
      <xdr:rowOff>109195</xdr:rowOff>
    </xdr:from>
    <xdr:to>
      <xdr:col>2</xdr:col>
      <xdr:colOff>759165</xdr:colOff>
      <xdr:row>3</xdr:row>
      <xdr:rowOff>171377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012"/>
        <a:stretch/>
      </xdr:blipFill>
      <xdr:spPr bwMode="auto">
        <a:xfrm>
          <a:off x="163185" y="375895"/>
          <a:ext cx="976980" cy="3098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1530</xdr:colOff>
      <xdr:row>1</xdr:row>
      <xdr:rowOff>47626</xdr:rowOff>
    </xdr:from>
    <xdr:to>
      <xdr:col>2</xdr:col>
      <xdr:colOff>267891</xdr:colOff>
      <xdr:row>2</xdr:row>
      <xdr:rowOff>148826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4" r="62750"/>
        <a:stretch/>
      </xdr:blipFill>
      <xdr:spPr bwMode="auto">
        <a:xfrm>
          <a:off x="67014" y="113110"/>
          <a:ext cx="581877" cy="303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19</xdr:row>
          <xdr:rowOff>28575</xdr:rowOff>
        </xdr:from>
        <xdr:to>
          <xdr:col>3</xdr:col>
          <xdr:colOff>876300</xdr:colOff>
          <xdr:row>19</xdr:row>
          <xdr:rowOff>219075</xdr:rowOff>
        </xdr:to>
        <xdr:sp macro="" textlink="">
          <xdr:nvSpPr>
            <xdr:cNvPr id="1041" name="Combo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95250</xdr:rowOff>
        </xdr:from>
        <xdr:to>
          <xdr:col>5</xdr:col>
          <xdr:colOff>666750</xdr:colOff>
          <xdr:row>10</xdr:row>
          <xdr:rowOff>95250</xdr:rowOff>
        </xdr:to>
        <xdr:sp macro="" textlink="">
          <xdr:nvSpPr>
            <xdr:cNvPr id="1048" name="Begi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3</xdr:col>
          <xdr:colOff>876300</xdr:colOff>
          <xdr:row>20</xdr:row>
          <xdr:rowOff>219075</xdr:rowOff>
        </xdr:to>
        <xdr:sp macro="" textlink="">
          <xdr:nvSpPr>
            <xdr:cNvPr id="1053" name="ComboBox2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28575</xdr:rowOff>
        </xdr:from>
        <xdr:to>
          <xdr:col>3</xdr:col>
          <xdr:colOff>876300</xdr:colOff>
          <xdr:row>21</xdr:row>
          <xdr:rowOff>219075</xdr:rowOff>
        </xdr:to>
        <xdr:sp macro="" textlink="">
          <xdr:nvSpPr>
            <xdr:cNvPr id="1054" name="ComboBox3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3</xdr:col>
          <xdr:colOff>876300</xdr:colOff>
          <xdr:row>22</xdr:row>
          <xdr:rowOff>209550</xdr:rowOff>
        </xdr:to>
        <xdr:sp macro="" textlink="">
          <xdr:nvSpPr>
            <xdr:cNvPr id="1055" name="ComboBox4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28575</xdr:rowOff>
        </xdr:from>
        <xdr:to>
          <xdr:col>3</xdr:col>
          <xdr:colOff>876300</xdr:colOff>
          <xdr:row>23</xdr:row>
          <xdr:rowOff>219075</xdr:rowOff>
        </xdr:to>
        <xdr:sp macro="" textlink="">
          <xdr:nvSpPr>
            <xdr:cNvPr id="1056" name="ComboBox5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28575</xdr:rowOff>
        </xdr:from>
        <xdr:to>
          <xdr:col>3</xdr:col>
          <xdr:colOff>876300</xdr:colOff>
          <xdr:row>24</xdr:row>
          <xdr:rowOff>219075</xdr:rowOff>
        </xdr:to>
        <xdr:sp macro="" textlink="">
          <xdr:nvSpPr>
            <xdr:cNvPr id="1057" name="ComboBox6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19050</xdr:rowOff>
        </xdr:from>
        <xdr:to>
          <xdr:col>3</xdr:col>
          <xdr:colOff>876300</xdr:colOff>
          <xdr:row>25</xdr:row>
          <xdr:rowOff>209550</xdr:rowOff>
        </xdr:to>
        <xdr:sp macro="" textlink="">
          <xdr:nvSpPr>
            <xdr:cNvPr id="1058" name="ComboBox7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19050</xdr:rowOff>
        </xdr:from>
        <xdr:to>
          <xdr:col>3</xdr:col>
          <xdr:colOff>876300</xdr:colOff>
          <xdr:row>26</xdr:row>
          <xdr:rowOff>209550</xdr:rowOff>
        </xdr:to>
        <xdr:sp macro="" textlink="">
          <xdr:nvSpPr>
            <xdr:cNvPr id="1059" name="ComboBox8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19050</xdr:rowOff>
        </xdr:from>
        <xdr:to>
          <xdr:col>3</xdr:col>
          <xdr:colOff>876300</xdr:colOff>
          <xdr:row>27</xdr:row>
          <xdr:rowOff>209550</xdr:rowOff>
        </xdr:to>
        <xdr:sp macro="" textlink="">
          <xdr:nvSpPr>
            <xdr:cNvPr id="1060" name="ComboBox9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28575</xdr:rowOff>
        </xdr:from>
        <xdr:to>
          <xdr:col>3</xdr:col>
          <xdr:colOff>876300</xdr:colOff>
          <xdr:row>28</xdr:row>
          <xdr:rowOff>219075</xdr:rowOff>
        </xdr:to>
        <xdr:sp macro="" textlink="">
          <xdr:nvSpPr>
            <xdr:cNvPr id="1061" name="ComboBox10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19050</xdr:rowOff>
        </xdr:from>
        <xdr:to>
          <xdr:col>3</xdr:col>
          <xdr:colOff>876300</xdr:colOff>
          <xdr:row>29</xdr:row>
          <xdr:rowOff>209550</xdr:rowOff>
        </xdr:to>
        <xdr:sp macro="" textlink="">
          <xdr:nvSpPr>
            <xdr:cNvPr id="1062" name="ComboBox1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19050</xdr:rowOff>
        </xdr:from>
        <xdr:to>
          <xdr:col>3</xdr:col>
          <xdr:colOff>876300</xdr:colOff>
          <xdr:row>30</xdr:row>
          <xdr:rowOff>209550</xdr:rowOff>
        </xdr:to>
        <xdr:sp macro="" textlink="">
          <xdr:nvSpPr>
            <xdr:cNvPr id="1063" name="ComboBox12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31</xdr:row>
          <xdr:rowOff>19050</xdr:rowOff>
        </xdr:from>
        <xdr:to>
          <xdr:col>3</xdr:col>
          <xdr:colOff>876300</xdr:colOff>
          <xdr:row>31</xdr:row>
          <xdr:rowOff>209550</xdr:rowOff>
        </xdr:to>
        <xdr:sp macro="" textlink="">
          <xdr:nvSpPr>
            <xdr:cNvPr id="1064" name="ComboBox13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3</xdr:col>
          <xdr:colOff>876300</xdr:colOff>
          <xdr:row>32</xdr:row>
          <xdr:rowOff>209550</xdr:rowOff>
        </xdr:to>
        <xdr:sp macro="" textlink="">
          <xdr:nvSpPr>
            <xdr:cNvPr id="1065" name="ComboBox14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3</xdr:col>
          <xdr:colOff>876300</xdr:colOff>
          <xdr:row>33</xdr:row>
          <xdr:rowOff>209550</xdr:rowOff>
        </xdr:to>
        <xdr:sp macro="" textlink="">
          <xdr:nvSpPr>
            <xdr:cNvPr id="1071" name="ComboBox1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19050</xdr:rowOff>
        </xdr:from>
        <xdr:to>
          <xdr:col>3</xdr:col>
          <xdr:colOff>876300</xdr:colOff>
          <xdr:row>34</xdr:row>
          <xdr:rowOff>209550</xdr:rowOff>
        </xdr:to>
        <xdr:sp macro="" textlink="">
          <xdr:nvSpPr>
            <xdr:cNvPr id="1072" name="ComboBox16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838200</xdr:colOff>
          <xdr:row>7</xdr:row>
          <xdr:rowOff>171450</xdr:rowOff>
        </xdr:from>
        <xdr:to>
          <xdr:col>5</xdr:col>
          <xdr:colOff>1276350</xdr:colOff>
          <xdr:row>8</xdr:row>
          <xdr:rowOff>171450</xdr:rowOff>
        </xdr:to>
        <xdr:sp macro="" textlink="">
          <xdr:nvSpPr>
            <xdr:cNvPr id="1073" name="Delete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305128</xdr:colOff>
      <xdr:row>14</xdr:row>
      <xdr:rowOff>139262</xdr:rowOff>
    </xdr:from>
    <xdr:to>
      <xdr:col>4</xdr:col>
      <xdr:colOff>564931</xdr:colOff>
      <xdr:row>16</xdr:row>
      <xdr:rowOff>164224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70818" y="3160986"/>
          <a:ext cx="2795423" cy="4847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Note:  C</a:t>
          </a:r>
          <a:r>
            <a:rPr lang="en-US" sz="1100" i="1" baseline="0"/>
            <a:t>lick the meter name first (1 time)</a:t>
          </a:r>
        </a:p>
        <a:p>
          <a:r>
            <a:rPr lang="en-US" sz="1100" i="1" baseline="0"/>
            <a:t>before clicking the 4 control buttons.</a:t>
          </a:r>
          <a:endParaRPr lang="en-US" sz="1100" i="1"/>
        </a:p>
      </xdr:txBody>
    </xdr:sp>
    <xdr:clientData/>
  </xdr:twoCellAnchor>
  <xdr:twoCellAnchor>
    <xdr:from>
      <xdr:col>4</xdr:col>
      <xdr:colOff>802871</xdr:colOff>
      <xdr:row>11</xdr:row>
      <xdr:rowOff>2994</xdr:rowOff>
    </xdr:from>
    <xdr:to>
      <xdr:col>7</xdr:col>
      <xdr:colOff>74235</xdr:colOff>
      <xdr:row>16</xdr:row>
      <xdr:rowOff>168519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403929" y="2318302"/>
          <a:ext cx="1828460" cy="13011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i="1"/>
            <a:t>Steps:</a:t>
          </a:r>
          <a:br>
            <a:rPr lang="en-US" sz="1100" i="1"/>
          </a:br>
          <a:r>
            <a:rPr lang="en-US" sz="1100" i="1"/>
            <a:t>1. Click </a:t>
          </a:r>
          <a:r>
            <a:rPr lang="en-US" sz="1100" b="1" i="1"/>
            <a:t>Start</a:t>
          </a:r>
        </a:p>
        <a:p>
          <a:r>
            <a:rPr lang="en-US" sz="1100" i="1"/>
            <a:t>2. Click</a:t>
          </a:r>
          <a:r>
            <a:rPr lang="en-US" sz="1100" i="1" baseline="0"/>
            <a:t> Meter Name </a:t>
          </a:r>
          <a:r>
            <a:rPr lang="en-US" sz="1100" b="1" i="1" baseline="0"/>
            <a:t>cell</a:t>
          </a:r>
        </a:p>
        <a:p>
          <a:r>
            <a:rPr lang="en-US" sz="1100" i="1" baseline="0"/>
            <a:t>3. Select meter type</a:t>
          </a:r>
        </a:p>
        <a:p>
          <a:r>
            <a:rPr lang="en-US" sz="1100" i="1" baseline="0"/>
            <a:t>4. Click </a:t>
          </a:r>
          <a:r>
            <a:rPr lang="en-US" sz="1100" b="1" i="1" baseline="0"/>
            <a:t>Import</a:t>
          </a:r>
        </a:p>
        <a:p>
          <a:r>
            <a:rPr lang="en-US" sz="1100" i="1" baseline="0"/>
            <a:t>5. Select Wave log, then PQ (Always click YES)</a:t>
          </a:r>
          <a:endParaRPr lang="en-US" sz="1100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19008-85C9-4D94-9B67-F58AAF97106E}">
  <sheetPr codeName="Sheet1"/>
  <dimension ref="A1:M42"/>
  <sheetViews>
    <sheetView showGridLines="0" tabSelected="1" zoomScaleNormal="100" workbookViewId="0">
      <selection activeCell="F31" sqref="F31"/>
    </sheetView>
  </sheetViews>
  <sheetFormatPr defaultColWidth="0" defaultRowHeight="15.75" zeroHeight="1" x14ac:dyDescent="0.25"/>
  <cols>
    <col min="1" max="1" width="1" style="8" customWidth="1"/>
    <col min="2" max="2" width="4.7109375" style="8" customWidth="1"/>
    <col min="3" max="3" width="19.5703125" style="9" bestFit="1" customWidth="1"/>
    <col min="4" max="4" width="13.7109375" style="8" bestFit="1" customWidth="1"/>
    <col min="5" max="5" width="13.140625" style="8" bestFit="1" customWidth="1"/>
    <col min="6" max="6" width="23.140625" style="8" bestFit="1" customWidth="1"/>
    <col min="7" max="7" width="2" style="8" customWidth="1"/>
    <col min="8" max="8" width="9.42578125" style="8" bestFit="1" customWidth="1"/>
    <col min="9" max="9" width="8.85546875" style="8" bestFit="1" customWidth="1"/>
    <col min="10" max="10" width="2" style="8" customWidth="1"/>
    <col min="11" max="11" width="12.5703125" style="10" bestFit="1" customWidth="1"/>
    <col min="12" max="12" width="4.7109375" style="8" customWidth="1"/>
    <col min="13" max="13" width="1.7109375" style="8" customWidth="1"/>
    <col min="14" max="16384" width="9.140625" style="8" hidden="1"/>
  </cols>
  <sheetData>
    <row r="1" spans="2:13" ht="5.25" customHeight="1" thickBot="1" x14ac:dyDescent="0.3"/>
    <row r="2" spans="2:13" x14ac:dyDescent="0.25">
      <c r="B2" s="11"/>
      <c r="C2" s="12"/>
      <c r="D2" s="12"/>
      <c r="E2" s="12"/>
      <c r="F2" s="12"/>
      <c r="G2" s="12"/>
      <c r="H2" s="12"/>
      <c r="I2" s="12"/>
      <c r="J2" s="12"/>
      <c r="K2" s="12"/>
      <c r="L2" s="13"/>
      <c r="M2" s="14"/>
    </row>
    <row r="3" spans="2:13" ht="19.5" x14ac:dyDescent="0.25">
      <c r="B3" s="15"/>
      <c r="C3" s="42" t="s">
        <v>25</v>
      </c>
      <c r="D3" s="16"/>
      <c r="E3" s="16"/>
      <c r="F3" s="16"/>
      <c r="G3" s="16"/>
      <c r="H3" s="16"/>
      <c r="I3" s="16"/>
      <c r="J3" s="16"/>
      <c r="K3" s="17"/>
      <c r="L3" s="18"/>
    </row>
    <row r="4" spans="2:13" ht="16.5" thickBot="1" x14ac:dyDescent="0.3">
      <c r="B4" s="38"/>
      <c r="C4" s="39"/>
      <c r="D4" s="39"/>
      <c r="E4" s="63"/>
      <c r="F4" s="39"/>
      <c r="G4" s="39"/>
      <c r="H4" s="39"/>
      <c r="I4" s="39"/>
      <c r="J4" s="39"/>
      <c r="K4" s="39"/>
      <c r="L4" s="40"/>
    </row>
    <row r="5" spans="2:13" ht="18" customHeight="1" thickBot="1" x14ac:dyDescent="0.3">
      <c r="B5" s="56"/>
      <c r="E5" s="59"/>
      <c r="G5" s="58"/>
      <c r="L5" s="62"/>
    </row>
    <row r="6" spans="2:13" ht="18" customHeight="1" thickBot="1" x14ac:dyDescent="0.3">
      <c r="B6" s="56"/>
      <c r="C6" s="73" t="s">
        <v>21</v>
      </c>
      <c r="D6" s="74"/>
      <c r="E6" s="59"/>
      <c r="F6" s="19" t="s">
        <v>23</v>
      </c>
      <c r="G6" s="58"/>
      <c r="H6" s="20" t="s">
        <v>18</v>
      </c>
      <c r="I6" s="21"/>
      <c r="J6" s="21"/>
      <c r="K6" s="22"/>
      <c r="L6" s="62"/>
    </row>
    <row r="7" spans="2:13" ht="18" customHeight="1" thickBot="1" x14ac:dyDescent="0.3">
      <c r="B7" s="56"/>
      <c r="C7" s="24" t="s">
        <v>22</v>
      </c>
      <c r="D7" s="25" t="s">
        <v>17</v>
      </c>
      <c r="E7" s="59"/>
      <c r="F7" s="41"/>
      <c r="G7" s="58"/>
      <c r="H7" s="26" t="s">
        <v>4</v>
      </c>
      <c r="I7" s="27" t="s">
        <v>16</v>
      </c>
      <c r="J7" s="58"/>
      <c r="K7" s="28" t="s">
        <v>24</v>
      </c>
      <c r="L7" s="62"/>
    </row>
    <row r="8" spans="2:13" ht="18" customHeight="1" x14ac:dyDescent="0.25">
      <c r="B8" s="56"/>
      <c r="C8" s="29" t="s">
        <v>37</v>
      </c>
      <c r="D8" s="43">
        <v>120</v>
      </c>
      <c r="E8" s="59"/>
      <c r="F8" s="23"/>
      <c r="G8" s="58"/>
      <c r="H8" s="49" t="s">
        <v>5</v>
      </c>
      <c r="I8" s="50">
        <v>0.78300000000000003</v>
      </c>
      <c r="J8" s="58"/>
      <c r="K8" s="30" t="str" cm="1">
        <f t="array" ref="K8">IF(H8&lt;&gt;"",_xlfn.TEXTJOIN(",",TRUE,_xlfn.TEXTSPLIT(H8,,",")&amp;"="&amp;IF(I8&lt;1,"Sag",IF(I8&gt;1,"Surge","Normal"))),"")</f>
        <v>Va=Sag</v>
      </c>
      <c r="L8" s="62"/>
    </row>
    <row r="9" spans="2:13" ht="18" customHeight="1" thickBot="1" x14ac:dyDescent="0.3">
      <c r="B9" s="56"/>
      <c r="C9" s="31" t="s">
        <v>38</v>
      </c>
      <c r="D9" s="44">
        <v>5</v>
      </c>
      <c r="E9" s="59"/>
      <c r="F9" s="32"/>
      <c r="G9" s="58"/>
      <c r="H9" s="49" t="s">
        <v>5</v>
      </c>
      <c r="I9" s="50">
        <v>1</v>
      </c>
      <c r="J9" s="58"/>
      <c r="K9" s="30" t="str" cm="1">
        <f t="array" ref="K9">IF(H9&lt;&gt;"",_xlfn.TEXTJOIN(",",TRUE,_xlfn.TEXTSPLIT(H9,,",")&amp;"="&amp;IF(I9&lt;1,"Sag",IF(I9&gt;1,"Surge","Normal"))),"")</f>
        <v>Va=Normal</v>
      </c>
      <c r="L9" s="62"/>
    </row>
    <row r="10" spans="2:13" ht="18" customHeight="1" x14ac:dyDescent="0.25">
      <c r="B10" s="56"/>
      <c r="C10" s="31" t="s">
        <v>15</v>
      </c>
      <c r="D10" s="44">
        <v>166</v>
      </c>
      <c r="E10" s="59"/>
      <c r="F10" s="23"/>
      <c r="G10" s="58"/>
      <c r="H10" s="49" t="s">
        <v>7</v>
      </c>
      <c r="I10" s="50">
        <v>0.78300000000000003</v>
      </c>
      <c r="J10" s="58"/>
      <c r="K10" s="30" t="str" cm="1">
        <f t="array" ref="K10">IF(H10&lt;&gt;"",_xlfn.TEXTJOIN(",",TRUE,_xlfn.TEXTSPLIT(H10,,",")&amp;"="&amp;IF(I10&lt;1,"Sag",IF(I10&gt;1,"Surge","Normal"))),"")</f>
        <v>Vb=Sag</v>
      </c>
      <c r="L10" s="62"/>
    </row>
    <row r="11" spans="2:13" ht="18" customHeight="1" thickBot="1" x14ac:dyDescent="0.3">
      <c r="B11" s="56"/>
      <c r="C11" s="31" t="s">
        <v>14</v>
      </c>
      <c r="D11" s="45">
        <v>0.15</v>
      </c>
      <c r="E11" s="59"/>
      <c r="F11" s="32"/>
      <c r="G11" s="58"/>
      <c r="H11" s="49" t="s">
        <v>7</v>
      </c>
      <c r="I11" s="50">
        <v>1</v>
      </c>
      <c r="J11" s="58"/>
      <c r="K11" s="30" t="str" cm="1">
        <f t="array" ref="K11">IF(H11&lt;&gt;"",_xlfn.TEXTJOIN(",",TRUE,_xlfn.TEXTSPLIT(H11,,",")&amp;"="&amp;IF(I11&lt;1,"Sag",IF(I11&gt;1,"Surge","Normal"))),"")</f>
        <v>Vb=Normal</v>
      </c>
      <c r="L11" s="62"/>
    </row>
    <row r="12" spans="2:13" ht="18" customHeight="1" x14ac:dyDescent="0.25">
      <c r="B12" s="56"/>
      <c r="C12" s="31" t="s">
        <v>39</v>
      </c>
      <c r="D12" s="44" t="b">
        <v>1</v>
      </c>
      <c r="E12" s="59"/>
      <c r="F12" s="58"/>
      <c r="G12" s="58"/>
      <c r="H12" s="49" t="s">
        <v>9</v>
      </c>
      <c r="I12" s="50">
        <v>0.78300000000000003</v>
      </c>
      <c r="J12" s="58"/>
      <c r="K12" s="30" t="str" cm="1">
        <f t="array" ref="K12">IF(H12&lt;&gt;"",_xlfn.TEXTJOIN(",",TRUE,_xlfn.TEXTSPLIT(H12,,",")&amp;"="&amp;IF(I12&lt;1,"Sag",IF(I12&gt;1,"Surge","Normal"))),"")</f>
        <v>Vc=Sag</v>
      </c>
      <c r="L12" s="62"/>
    </row>
    <row r="13" spans="2:13" ht="18" customHeight="1" x14ac:dyDescent="0.25">
      <c r="B13" s="56"/>
      <c r="C13" s="31" t="s">
        <v>40</v>
      </c>
      <c r="D13" s="44">
        <v>60</v>
      </c>
      <c r="E13" s="59"/>
      <c r="F13" s="58"/>
      <c r="G13" s="58"/>
      <c r="H13" s="49" t="s">
        <v>9</v>
      </c>
      <c r="I13" s="50">
        <v>1</v>
      </c>
      <c r="J13" s="58"/>
      <c r="K13" s="30" t="str" cm="1">
        <f t="array" ref="K13">IF(H13&lt;&gt;"",_xlfn.TEXTJOIN(",",TRUE,_xlfn.TEXTSPLIT(H13,,",")&amp;"="&amp;IF(I13&lt;1,"Sag",IF(I13&gt;1,"Surge","Normal"))),"")</f>
        <v>Vc=Normal</v>
      </c>
      <c r="L13" s="62"/>
    </row>
    <row r="14" spans="2:13" ht="18" customHeight="1" thickBot="1" x14ac:dyDescent="0.3">
      <c r="B14" s="56"/>
      <c r="C14" s="33" t="s">
        <v>41</v>
      </c>
      <c r="D14" s="46" t="s">
        <v>42</v>
      </c>
      <c r="E14" s="59"/>
      <c r="F14" s="58"/>
      <c r="G14" s="58"/>
      <c r="H14" s="49" t="s">
        <v>6</v>
      </c>
      <c r="I14" s="50">
        <v>2.2000000000000002</v>
      </c>
      <c r="J14" s="58"/>
      <c r="K14" s="30" t="str" cm="1">
        <f t="array" ref="K14">IF(H14&lt;&gt;"",_xlfn.TEXTJOIN(",",TRUE,_xlfn.TEXTSPLIT(H14,,",")&amp;"="&amp;IF(I14&lt;1,"Sag",IF(I14&gt;1,"Surge","Normal"))),"")</f>
        <v>Ia=Surge</v>
      </c>
      <c r="L14" s="62"/>
    </row>
    <row r="15" spans="2:13" ht="18" customHeight="1" x14ac:dyDescent="0.25">
      <c r="B15" s="56"/>
      <c r="C15" s="58"/>
      <c r="D15" s="58"/>
      <c r="E15" s="59"/>
      <c r="F15" s="58"/>
      <c r="G15" s="58"/>
      <c r="H15" s="49" t="s">
        <v>6</v>
      </c>
      <c r="I15" s="50">
        <v>1</v>
      </c>
      <c r="J15" s="58"/>
      <c r="K15" s="30" t="str" cm="1">
        <f t="array" ref="K15">IF(H15&lt;&gt;"",_xlfn.TEXTJOIN(",",TRUE,_xlfn.TEXTSPLIT(H15,,",")&amp;"="&amp;IF(I15&lt;1,"Sag",IF(I15&gt;1,"Surge","Normal"))),"")</f>
        <v>Ia=Normal</v>
      </c>
      <c r="L15" s="62"/>
    </row>
    <row r="16" spans="2:13" ht="18" customHeight="1" x14ac:dyDescent="0.25">
      <c r="B16" s="56"/>
      <c r="C16" s="71"/>
      <c r="D16" s="59"/>
      <c r="E16" s="58"/>
      <c r="F16" s="58"/>
      <c r="G16" s="58"/>
      <c r="H16" s="49" t="s">
        <v>8</v>
      </c>
      <c r="I16" s="50">
        <v>2.2000000000000002</v>
      </c>
      <c r="J16" s="58"/>
      <c r="K16" s="30" t="str" cm="1">
        <f t="array" ref="K16">IF(H16&lt;&gt;"",_xlfn.TEXTJOIN(",",TRUE,_xlfn.TEXTSPLIT(H16,,",")&amp;"="&amp;IF(I16&lt;1,"Sag",IF(I16&gt;1,"Surge","Normal"))),"")</f>
        <v>Ib=Surge</v>
      </c>
      <c r="L16" s="62"/>
    </row>
    <row r="17" spans="2:12" ht="18" customHeight="1" thickBot="1" x14ac:dyDescent="0.3">
      <c r="B17" s="56"/>
      <c r="C17" s="72"/>
      <c r="D17" s="72"/>
      <c r="G17" s="58"/>
      <c r="H17" s="49" t="s">
        <v>8</v>
      </c>
      <c r="I17" s="50">
        <v>1</v>
      </c>
      <c r="J17" s="58"/>
      <c r="K17" s="30" t="str" cm="1">
        <f t="array" ref="K17">IF(H17&lt;&gt;"",_xlfn.TEXTJOIN(",",TRUE,_xlfn.TEXTSPLIT(H17,,",")&amp;"="&amp;IF(I17&lt;1,"Sag",IF(I17&gt;1,"Surge","Normal"))),"")</f>
        <v>Ib=Normal</v>
      </c>
      <c r="L17" s="62"/>
    </row>
    <row r="18" spans="2:12" ht="18" customHeight="1" thickBot="1" x14ac:dyDescent="0.3">
      <c r="B18" s="56"/>
      <c r="C18" s="20" t="s">
        <v>19</v>
      </c>
      <c r="D18" s="21"/>
      <c r="E18" s="21"/>
      <c r="F18" s="22"/>
      <c r="G18" s="58"/>
      <c r="H18" s="49" t="s">
        <v>10</v>
      </c>
      <c r="I18" s="50">
        <v>2.2000000000000002</v>
      </c>
      <c r="J18" s="58"/>
      <c r="K18" s="30" t="str" cm="1">
        <f t="array" ref="K18">IF(H18&lt;&gt;"",_xlfn.TEXTJOIN(",",TRUE,_xlfn.TEXTSPLIT(H18,,",")&amp;"="&amp;IF(I18&lt;1,"Sag",IF(I18&gt;1,"Surge","Normal"))),"")</f>
        <v>Ic=Surge</v>
      </c>
      <c r="L18" s="62"/>
    </row>
    <row r="19" spans="2:12" ht="18" customHeight="1" thickBot="1" x14ac:dyDescent="0.3">
      <c r="B19" s="56"/>
      <c r="C19" s="34" t="s">
        <v>44</v>
      </c>
      <c r="D19" s="35" t="s">
        <v>43</v>
      </c>
      <c r="E19" s="36" t="s">
        <v>20</v>
      </c>
      <c r="F19" s="25" t="s">
        <v>49</v>
      </c>
      <c r="G19" s="58"/>
      <c r="H19" s="49" t="s">
        <v>10</v>
      </c>
      <c r="I19" s="50">
        <v>1</v>
      </c>
      <c r="J19" s="58"/>
      <c r="K19" s="30" t="str" cm="1">
        <f t="array" ref="K19">IF(H19&lt;&gt;"",_xlfn.TEXTJOIN(",",TRUE,_xlfn.TEXTSPLIT(H19,,",")&amp;"="&amp;IF(I19&lt;1,"Sag",IF(I19&gt;1,"Surge","Normal"))),"")</f>
        <v>Ic=Normal</v>
      </c>
      <c r="L19" s="62"/>
    </row>
    <row r="20" spans="2:12" ht="18" customHeight="1" x14ac:dyDescent="0.25">
      <c r="B20" s="56"/>
      <c r="C20" s="47" t="s">
        <v>50</v>
      </c>
      <c r="D20" s="52"/>
      <c r="E20" s="53"/>
      <c r="F20" s="64"/>
      <c r="G20" s="58"/>
      <c r="H20" s="49" t="s">
        <v>5</v>
      </c>
      <c r="I20" s="50">
        <v>1.2166999999999999</v>
      </c>
      <c r="J20" s="58"/>
      <c r="K20" s="30" t="str" cm="1">
        <f t="array" ref="K20">IF(H20&lt;&gt;"",_xlfn.TEXTJOIN(",",TRUE,_xlfn.TEXTSPLIT(H20,,",")&amp;"="&amp;IF(I20&lt;1,"Sag",IF(I20&gt;1,"Surge","Normal"))),"")</f>
        <v>Va=Surge</v>
      </c>
      <c r="L20" s="62"/>
    </row>
    <row r="21" spans="2:12" ht="18" customHeight="1" x14ac:dyDescent="0.25">
      <c r="B21" s="56"/>
      <c r="C21" s="48" t="s">
        <v>47</v>
      </c>
      <c r="D21" s="54"/>
      <c r="E21" s="53"/>
      <c r="F21" s="65"/>
      <c r="G21" s="58"/>
      <c r="H21" s="49" t="s">
        <v>5</v>
      </c>
      <c r="I21" s="50">
        <v>1</v>
      </c>
      <c r="J21" s="58"/>
      <c r="K21" s="30" t="str" cm="1">
        <f t="array" ref="K21">IF(H21&lt;&gt;"",_xlfn.TEXTJOIN(",",TRUE,_xlfn.TEXTSPLIT(H21,,",")&amp;"="&amp;IF(I21&lt;1,"Sag",IF(I21&gt;1,"Surge","Normal"))),"")</f>
        <v>Va=Normal</v>
      </c>
      <c r="L21" s="62"/>
    </row>
    <row r="22" spans="2:12" ht="18" customHeight="1" x14ac:dyDescent="0.25">
      <c r="B22" s="56"/>
      <c r="C22" s="48" t="s">
        <v>48</v>
      </c>
      <c r="D22" s="54"/>
      <c r="E22" s="53"/>
      <c r="F22" s="65"/>
      <c r="G22" s="58"/>
      <c r="H22" s="49" t="s">
        <v>7</v>
      </c>
      <c r="I22" s="50">
        <v>1.2166999999999999</v>
      </c>
      <c r="J22" s="58"/>
      <c r="K22" s="30" t="str" cm="1">
        <f t="array" ref="K22">IF(H22&lt;&gt;"",_xlfn.TEXTJOIN(",",TRUE,_xlfn.TEXTSPLIT(H22,,",")&amp;"="&amp;IF(I22&lt;1,"Sag",IF(I22&gt;1,"Surge","Normal"))),"")</f>
        <v>Vb=Surge</v>
      </c>
      <c r="L22" s="62"/>
    </row>
    <row r="23" spans="2:12" ht="18" customHeight="1" x14ac:dyDescent="0.25">
      <c r="B23" s="56"/>
      <c r="C23" s="48" t="s">
        <v>45</v>
      </c>
      <c r="D23" s="54"/>
      <c r="E23" s="53"/>
      <c r="F23" s="65"/>
      <c r="G23" s="58"/>
      <c r="H23" s="49" t="s">
        <v>7</v>
      </c>
      <c r="I23" s="50">
        <v>1</v>
      </c>
      <c r="J23" s="58"/>
      <c r="K23" s="30" t="str" cm="1">
        <f t="array" ref="K23">IF(H23&lt;&gt;"",_xlfn.TEXTJOIN(",",TRUE,_xlfn.TEXTSPLIT(H23,,",")&amp;"="&amp;IF(I23&lt;1,"Sag",IF(I23&gt;1,"Surge","Normal"))),"")</f>
        <v>Vb=Normal</v>
      </c>
      <c r="L23" s="62"/>
    </row>
    <row r="24" spans="2:12" ht="18" customHeight="1" x14ac:dyDescent="0.25">
      <c r="B24" s="56"/>
      <c r="C24" s="48" t="s">
        <v>46</v>
      </c>
      <c r="D24" s="54"/>
      <c r="E24" s="53"/>
      <c r="F24" s="65"/>
      <c r="G24" s="58"/>
      <c r="H24" s="49" t="s">
        <v>9</v>
      </c>
      <c r="I24" s="50">
        <v>1.2166999999999999</v>
      </c>
      <c r="J24" s="58"/>
      <c r="K24" s="30" t="str" cm="1">
        <f t="array" ref="K24">IF(H24&lt;&gt;"",_xlfn.TEXTJOIN(",",TRUE,_xlfn.TEXTSPLIT(H24,,",")&amp;"="&amp;IF(I24&lt;1,"Sag",IF(I24&gt;1,"Surge","Normal"))),"")</f>
        <v>Vc=Surge</v>
      </c>
      <c r="L24" s="62"/>
    </row>
    <row r="25" spans="2:12" ht="18" customHeight="1" x14ac:dyDescent="0.25">
      <c r="B25" s="56"/>
      <c r="C25" s="48" t="s">
        <v>26</v>
      </c>
      <c r="D25" s="54"/>
      <c r="E25" s="53"/>
      <c r="F25" s="66"/>
      <c r="G25" s="58"/>
      <c r="H25" s="49" t="s">
        <v>9</v>
      </c>
      <c r="I25" s="50">
        <v>1</v>
      </c>
      <c r="J25" s="58"/>
      <c r="K25" s="30" t="str" cm="1">
        <f t="array" ref="K25">IF(H25&lt;&gt;"",_xlfn.TEXTJOIN(",",TRUE,_xlfn.TEXTSPLIT(H25,,",")&amp;"="&amp;IF(I25&lt;1,"Sag",IF(I25&gt;1,"Surge","Normal"))),"")</f>
        <v>Vc=Normal</v>
      </c>
      <c r="L25" s="62"/>
    </row>
    <row r="26" spans="2:12" ht="18" customHeight="1" x14ac:dyDescent="0.25">
      <c r="B26" s="56"/>
      <c r="C26" s="48" t="s">
        <v>27</v>
      </c>
      <c r="D26" s="55"/>
      <c r="E26" s="53"/>
      <c r="F26" s="66"/>
      <c r="G26" s="58"/>
      <c r="H26" s="49" t="s">
        <v>6</v>
      </c>
      <c r="I26" s="50">
        <v>0</v>
      </c>
      <c r="J26" s="58"/>
      <c r="K26" s="30" t="str" cm="1">
        <f t="array" ref="K26">IF(H26&lt;&gt;"",_xlfn.TEXTJOIN(",",TRUE,_xlfn.TEXTSPLIT(H26,,",")&amp;"="&amp;IF(I26&lt;1,"Sag",IF(I26&gt;1,"Surge","Normal"))),"")</f>
        <v>Ia=Sag</v>
      </c>
      <c r="L26" s="62"/>
    </row>
    <row r="27" spans="2:12" ht="18" customHeight="1" x14ac:dyDescent="0.25">
      <c r="B27" s="56"/>
      <c r="C27" s="48" t="s">
        <v>28</v>
      </c>
      <c r="D27" s="55"/>
      <c r="E27" s="53"/>
      <c r="F27" s="66"/>
      <c r="G27" s="58"/>
      <c r="H27" s="49" t="s">
        <v>6</v>
      </c>
      <c r="I27" s="50">
        <v>1</v>
      </c>
      <c r="J27" s="58"/>
      <c r="K27" s="30" t="str" cm="1">
        <f t="array" ref="K27">IF(H27&lt;&gt;"",_xlfn.TEXTJOIN(",",TRUE,_xlfn.TEXTSPLIT(H27,,",")&amp;"="&amp;IF(I27&lt;1,"Sag",IF(I27&gt;1,"Surge","Normal"))),"")</f>
        <v>Ia=Normal</v>
      </c>
      <c r="L27" s="62"/>
    </row>
    <row r="28" spans="2:12" ht="18" customHeight="1" x14ac:dyDescent="0.25">
      <c r="B28" s="56"/>
      <c r="C28" s="48" t="s">
        <v>29</v>
      </c>
      <c r="D28" s="55"/>
      <c r="E28" s="53"/>
      <c r="F28" s="66"/>
      <c r="G28" s="58"/>
      <c r="H28" s="49" t="s">
        <v>8</v>
      </c>
      <c r="I28" s="50">
        <v>0</v>
      </c>
      <c r="J28" s="58"/>
      <c r="K28" s="30" t="str" cm="1">
        <f t="array" ref="K28">IF(H28&lt;&gt;"",_xlfn.TEXTJOIN(",",TRUE,_xlfn.TEXTSPLIT(H28,,",")&amp;"="&amp;IF(I28&lt;1,"Sag",IF(I28&gt;1,"Surge","Normal"))),"")</f>
        <v>Ib=Sag</v>
      </c>
      <c r="L28" s="62"/>
    </row>
    <row r="29" spans="2:12" ht="18" customHeight="1" x14ac:dyDescent="0.25">
      <c r="B29" s="56"/>
      <c r="C29" s="48" t="s">
        <v>30</v>
      </c>
      <c r="D29" s="55"/>
      <c r="E29" s="53"/>
      <c r="F29" s="66"/>
      <c r="G29" s="58"/>
      <c r="H29" s="49" t="s">
        <v>8</v>
      </c>
      <c r="I29" s="50">
        <v>1</v>
      </c>
      <c r="J29" s="58"/>
      <c r="K29" s="30" t="str" cm="1">
        <f t="array" ref="K29">IF(H29&lt;&gt;"",_xlfn.TEXTJOIN(",",TRUE,_xlfn.TEXTSPLIT(H29,,",")&amp;"="&amp;IF(I29&lt;1,"Sag",IF(I29&gt;1,"Surge","Normal"))),"")</f>
        <v>Ib=Normal</v>
      </c>
      <c r="L29" s="62"/>
    </row>
    <row r="30" spans="2:12" ht="18" customHeight="1" x14ac:dyDescent="0.25">
      <c r="B30" s="56"/>
      <c r="C30" s="48" t="s">
        <v>31</v>
      </c>
      <c r="D30" s="55"/>
      <c r="E30" s="53"/>
      <c r="F30" s="66"/>
      <c r="G30" s="58"/>
      <c r="H30" s="49" t="s">
        <v>10</v>
      </c>
      <c r="I30" s="50">
        <v>0</v>
      </c>
      <c r="J30" s="58"/>
      <c r="K30" s="30" t="str" cm="1">
        <f t="array" ref="K30">IF(H30&lt;&gt;"",_xlfn.TEXTJOIN(",",TRUE,_xlfn.TEXTSPLIT(H30,,",")&amp;"="&amp;IF(I30&lt;1,"Sag",IF(I30&gt;1,"Surge","Normal"))),"")</f>
        <v>Ic=Sag</v>
      </c>
      <c r="L30" s="62"/>
    </row>
    <row r="31" spans="2:12" ht="18" customHeight="1" x14ac:dyDescent="0.25">
      <c r="B31" s="56"/>
      <c r="C31" s="48" t="s">
        <v>32</v>
      </c>
      <c r="D31" s="55"/>
      <c r="E31" s="53"/>
      <c r="F31" s="66"/>
      <c r="G31" s="58"/>
      <c r="H31" s="49" t="s">
        <v>10</v>
      </c>
      <c r="I31" s="50">
        <v>1</v>
      </c>
      <c r="J31" s="58"/>
      <c r="K31" s="30" t="str" cm="1">
        <f t="array" ref="K31">IF(H31&lt;&gt;"",_xlfn.TEXTJOIN(",",TRUE,_xlfn.TEXTSPLIT(H31,,",")&amp;"="&amp;IF(I31&lt;1,"Sag",IF(I31&gt;1,"Surge","Normal"))),"")</f>
        <v>Ic=Normal</v>
      </c>
      <c r="L31" s="62"/>
    </row>
    <row r="32" spans="2:12" ht="18" customHeight="1" x14ac:dyDescent="0.25">
      <c r="B32" s="56"/>
      <c r="C32" s="48" t="s">
        <v>33</v>
      </c>
      <c r="D32" s="55"/>
      <c r="E32" s="53"/>
      <c r="F32" s="66"/>
      <c r="G32" s="58"/>
      <c r="H32" s="49"/>
      <c r="I32" s="50"/>
      <c r="J32" s="58"/>
      <c r="K32" s="30" t="str" cm="1">
        <f t="array" ref="K32">IF(H32&lt;&gt;"",_xlfn.TEXTJOIN(",",TRUE,_xlfn.TEXTSPLIT(H32,,",")&amp;"="&amp;IF(I32&lt;1,"Sag",IF(I32&gt;1,"Surge","Normal"))),"")</f>
        <v/>
      </c>
      <c r="L32" s="62"/>
    </row>
    <row r="33" spans="2:12" ht="18" customHeight="1" x14ac:dyDescent="0.25">
      <c r="B33" s="56"/>
      <c r="C33" s="48" t="s">
        <v>34</v>
      </c>
      <c r="D33" s="55"/>
      <c r="E33" s="53"/>
      <c r="F33" s="66"/>
      <c r="G33" s="58"/>
      <c r="H33" s="49"/>
      <c r="I33" s="50"/>
      <c r="J33" s="58"/>
      <c r="K33" s="30" t="str" cm="1">
        <f t="array" ref="K33">IF(H33&lt;&gt;"",_xlfn.TEXTJOIN(",",TRUE,_xlfn.TEXTSPLIT(H33,,",")&amp;"="&amp;IF(I33&lt;1,"Sag",IF(I33&gt;1,"Surge","Normal"))),"")</f>
        <v/>
      </c>
      <c r="L33" s="62"/>
    </row>
    <row r="34" spans="2:12" ht="18" customHeight="1" x14ac:dyDescent="0.25">
      <c r="B34" s="56"/>
      <c r="C34" s="48" t="s">
        <v>35</v>
      </c>
      <c r="D34" s="55"/>
      <c r="E34" s="53"/>
      <c r="F34" s="66"/>
      <c r="G34" s="58"/>
      <c r="H34" s="49"/>
      <c r="I34" s="44"/>
      <c r="J34" s="58"/>
      <c r="K34" s="30" t="str" cm="1">
        <f t="array" ref="K34">IF(H34&lt;&gt;"",_xlfn.TEXTJOIN(",",TRUE,_xlfn.TEXTSPLIT(H34,,",")&amp;"="&amp;IF(I34&lt;1,"Sag",IF(I34&gt;1,"Surge","Normal"))),"")</f>
        <v/>
      </c>
      <c r="L34" s="62"/>
    </row>
    <row r="35" spans="2:12" ht="18" customHeight="1" thickBot="1" x14ac:dyDescent="0.3">
      <c r="B35" s="56"/>
      <c r="C35" s="67" t="s">
        <v>36</v>
      </c>
      <c r="D35" s="68"/>
      <c r="E35" s="69"/>
      <c r="F35" s="70"/>
      <c r="G35" s="58"/>
      <c r="H35" s="51"/>
      <c r="I35" s="46"/>
      <c r="J35" s="58"/>
      <c r="K35" s="37"/>
      <c r="L35" s="62"/>
    </row>
    <row r="36" spans="2:12" ht="18" customHeight="1" thickBot="1" x14ac:dyDescent="0.3">
      <c r="B36" s="57"/>
      <c r="C36" s="60"/>
      <c r="D36" s="60"/>
      <c r="E36" s="60"/>
      <c r="F36" s="60"/>
      <c r="G36" s="60"/>
      <c r="H36" s="60"/>
      <c r="I36" s="60"/>
      <c r="J36" s="60"/>
      <c r="K36" s="60"/>
      <c r="L36" s="61"/>
    </row>
    <row r="37" spans="2:12" ht="18" customHeight="1" x14ac:dyDescent="0.25"/>
    <row r="38" spans="2:12" ht="18" hidden="1" customHeight="1" x14ac:dyDescent="0.25"/>
    <row r="39" spans="2:12" ht="18" hidden="1" customHeight="1" x14ac:dyDescent="0.25"/>
    <row r="40" spans="2:12" ht="18" hidden="1" customHeight="1" x14ac:dyDescent="0.25"/>
    <row r="41" spans="2:12" ht="18" hidden="1" customHeight="1" x14ac:dyDescent="0.25"/>
    <row r="42" spans="2:12" ht="18" hidden="1" customHeight="1" x14ac:dyDescent="0.25"/>
  </sheetData>
  <sheetProtection algorithmName="SHA-512" hashValue="SqPxlyRb/Sgtfo4O1Vngd5iicRaZ0brZ4T/tH6u9poHGnr+DxOG08ER4WyukjFPMrvFID6iJ19M7C1kvA+WU0Q==" saltValue="nKb7BmFJhK+9fivHzQL3HQ==" spinCount="100000" sheet="1" objects="1" scenarios="1"/>
  <protectedRanges>
    <protectedRange algorithmName="SHA-512" hashValue="DGGQJ2LG/yPhrj8uiyq4lAnmBESJMjSJXwbaq2H6zN+AmtqluG/coW7hX9IDh4W2Efj6Nzq454qOHqm5+B0Ojg==" saltValue="s+V+n9cV3lgIGUWtzu8wbQ==" spinCount="100000" sqref="H8:I35" name="Range1"/>
  </protectedRanges>
  <mergeCells count="1">
    <mergeCell ref="C6:D6"/>
  </mergeCells>
  <phoneticPr fontId="4" type="noConversion"/>
  <conditionalFormatting sqref="D20:F20 D21:D25 F21:F24 E21:E35">
    <cfRule type="cellIs" dxfId="4" priority="6" operator="equal">
      <formula>"Satisfactory"</formula>
    </cfRule>
    <cfRule type="cellIs" dxfId="3" priority="7" operator="equal">
      <formula>"Failed"</formula>
    </cfRule>
  </conditionalFormatting>
  <conditionalFormatting sqref="D20:E20 D21:D25 E21:E35">
    <cfRule type="cellIs" dxfId="2" priority="1" operator="equal">
      <formula>"With Issues"</formula>
    </cfRule>
    <cfRule type="cellIs" dxfId="1" priority="3" operator="equal">
      <formula>"Stored"</formula>
    </cfRule>
  </conditionalFormatting>
  <conditionalFormatting sqref="F20:F24">
    <cfRule type="cellIs" dxfId="0" priority="2" operator="equal">
      <formula>"Stored"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72" r:id="rId4" name="ComboBox16">
          <controlPr defaultSize="0" autoLine="0" r:id="rId5">
            <anchor moveWithCells="1">
              <from>
                <xdr:col>3</xdr:col>
                <xdr:colOff>47625</xdr:colOff>
                <xdr:row>34</xdr:row>
                <xdr:rowOff>19050</xdr:rowOff>
              </from>
              <to>
                <xdr:col>3</xdr:col>
                <xdr:colOff>876300</xdr:colOff>
                <xdr:row>34</xdr:row>
                <xdr:rowOff>209550</xdr:rowOff>
              </to>
            </anchor>
          </controlPr>
        </control>
      </mc:Choice>
      <mc:Fallback>
        <control shapeId="1072" r:id="rId4" name="ComboBox16"/>
      </mc:Fallback>
    </mc:AlternateContent>
    <mc:AlternateContent xmlns:mc="http://schemas.openxmlformats.org/markup-compatibility/2006">
      <mc:Choice Requires="x14">
        <control shapeId="1071" r:id="rId6" name="ComboBox15">
          <controlPr defaultSize="0" autoLine="0" r:id="rId7">
            <anchor moveWithCells="1">
              <from>
                <xdr:col>3</xdr:col>
                <xdr:colOff>47625</xdr:colOff>
                <xdr:row>33</xdr:row>
                <xdr:rowOff>19050</xdr:rowOff>
              </from>
              <to>
                <xdr:col>3</xdr:col>
                <xdr:colOff>876300</xdr:colOff>
                <xdr:row>33</xdr:row>
                <xdr:rowOff>209550</xdr:rowOff>
              </to>
            </anchor>
          </controlPr>
        </control>
      </mc:Choice>
      <mc:Fallback>
        <control shapeId="1071" r:id="rId6" name="ComboBox15"/>
      </mc:Fallback>
    </mc:AlternateContent>
    <mc:AlternateContent xmlns:mc="http://schemas.openxmlformats.org/markup-compatibility/2006">
      <mc:Choice Requires="x14">
        <control shapeId="1065" r:id="rId8" name="ComboBox14">
          <controlPr defaultSize="0" autoLine="0" r:id="rId9">
            <anchor moveWithCells="1">
              <from>
                <xdr:col>3</xdr:col>
                <xdr:colOff>47625</xdr:colOff>
                <xdr:row>32</xdr:row>
                <xdr:rowOff>19050</xdr:rowOff>
              </from>
              <to>
                <xdr:col>3</xdr:col>
                <xdr:colOff>876300</xdr:colOff>
                <xdr:row>32</xdr:row>
                <xdr:rowOff>209550</xdr:rowOff>
              </to>
            </anchor>
          </controlPr>
        </control>
      </mc:Choice>
      <mc:Fallback>
        <control shapeId="1065" r:id="rId8" name="ComboBox14"/>
      </mc:Fallback>
    </mc:AlternateContent>
    <mc:AlternateContent xmlns:mc="http://schemas.openxmlformats.org/markup-compatibility/2006">
      <mc:Choice Requires="x14">
        <control shapeId="1064" r:id="rId10" name="ComboBox13">
          <controlPr defaultSize="0" autoLine="0" r:id="rId11">
            <anchor moveWithCells="1">
              <from>
                <xdr:col>3</xdr:col>
                <xdr:colOff>38100</xdr:colOff>
                <xdr:row>31</xdr:row>
                <xdr:rowOff>19050</xdr:rowOff>
              </from>
              <to>
                <xdr:col>3</xdr:col>
                <xdr:colOff>876300</xdr:colOff>
                <xdr:row>31</xdr:row>
                <xdr:rowOff>209550</xdr:rowOff>
              </to>
            </anchor>
          </controlPr>
        </control>
      </mc:Choice>
      <mc:Fallback>
        <control shapeId="1064" r:id="rId10" name="ComboBox13"/>
      </mc:Fallback>
    </mc:AlternateContent>
    <mc:AlternateContent xmlns:mc="http://schemas.openxmlformats.org/markup-compatibility/2006">
      <mc:Choice Requires="x14">
        <control shapeId="1063" r:id="rId12" name="ComboBox12">
          <controlPr defaultSize="0" autoLine="0" r:id="rId13">
            <anchor moveWithCells="1">
              <from>
                <xdr:col>3</xdr:col>
                <xdr:colOff>47625</xdr:colOff>
                <xdr:row>30</xdr:row>
                <xdr:rowOff>19050</xdr:rowOff>
              </from>
              <to>
                <xdr:col>3</xdr:col>
                <xdr:colOff>876300</xdr:colOff>
                <xdr:row>30</xdr:row>
                <xdr:rowOff>209550</xdr:rowOff>
              </to>
            </anchor>
          </controlPr>
        </control>
      </mc:Choice>
      <mc:Fallback>
        <control shapeId="1063" r:id="rId12" name="ComboBox12"/>
      </mc:Fallback>
    </mc:AlternateContent>
    <mc:AlternateContent xmlns:mc="http://schemas.openxmlformats.org/markup-compatibility/2006">
      <mc:Choice Requires="x14">
        <control shapeId="1062" r:id="rId14" name="ComboBox11">
          <controlPr defaultSize="0" autoLine="0" r:id="rId15">
            <anchor moveWithCells="1">
              <from>
                <xdr:col>3</xdr:col>
                <xdr:colOff>47625</xdr:colOff>
                <xdr:row>29</xdr:row>
                <xdr:rowOff>19050</xdr:rowOff>
              </from>
              <to>
                <xdr:col>3</xdr:col>
                <xdr:colOff>876300</xdr:colOff>
                <xdr:row>29</xdr:row>
                <xdr:rowOff>209550</xdr:rowOff>
              </to>
            </anchor>
          </controlPr>
        </control>
      </mc:Choice>
      <mc:Fallback>
        <control shapeId="1062" r:id="rId14" name="ComboBox11"/>
      </mc:Fallback>
    </mc:AlternateContent>
    <mc:AlternateContent xmlns:mc="http://schemas.openxmlformats.org/markup-compatibility/2006">
      <mc:Choice Requires="x14">
        <control shapeId="1061" r:id="rId16" name="ComboBox10">
          <controlPr defaultSize="0" autoLine="0" r:id="rId17">
            <anchor moveWithCells="1">
              <from>
                <xdr:col>3</xdr:col>
                <xdr:colOff>47625</xdr:colOff>
                <xdr:row>28</xdr:row>
                <xdr:rowOff>28575</xdr:rowOff>
              </from>
              <to>
                <xdr:col>3</xdr:col>
                <xdr:colOff>876300</xdr:colOff>
                <xdr:row>28</xdr:row>
                <xdr:rowOff>219075</xdr:rowOff>
              </to>
            </anchor>
          </controlPr>
        </control>
      </mc:Choice>
      <mc:Fallback>
        <control shapeId="1061" r:id="rId16" name="ComboBox10"/>
      </mc:Fallback>
    </mc:AlternateContent>
    <mc:AlternateContent xmlns:mc="http://schemas.openxmlformats.org/markup-compatibility/2006">
      <mc:Choice Requires="x14">
        <control shapeId="1060" r:id="rId18" name="ComboBox9">
          <controlPr defaultSize="0" autoLine="0" r:id="rId19">
            <anchor moveWithCells="1">
              <from>
                <xdr:col>3</xdr:col>
                <xdr:colOff>47625</xdr:colOff>
                <xdr:row>27</xdr:row>
                <xdr:rowOff>19050</xdr:rowOff>
              </from>
              <to>
                <xdr:col>3</xdr:col>
                <xdr:colOff>876300</xdr:colOff>
                <xdr:row>27</xdr:row>
                <xdr:rowOff>209550</xdr:rowOff>
              </to>
            </anchor>
          </controlPr>
        </control>
      </mc:Choice>
      <mc:Fallback>
        <control shapeId="1060" r:id="rId18" name="ComboBox9"/>
      </mc:Fallback>
    </mc:AlternateContent>
    <mc:AlternateContent xmlns:mc="http://schemas.openxmlformats.org/markup-compatibility/2006">
      <mc:Choice Requires="x14">
        <control shapeId="1059" r:id="rId20" name="ComboBox8">
          <controlPr defaultSize="0" autoLine="0" r:id="rId21">
            <anchor moveWithCells="1">
              <from>
                <xdr:col>3</xdr:col>
                <xdr:colOff>47625</xdr:colOff>
                <xdr:row>26</xdr:row>
                <xdr:rowOff>19050</xdr:rowOff>
              </from>
              <to>
                <xdr:col>3</xdr:col>
                <xdr:colOff>876300</xdr:colOff>
                <xdr:row>26</xdr:row>
                <xdr:rowOff>209550</xdr:rowOff>
              </to>
            </anchor>
          </controlPr>
        </control>
      </mc:Choice>
      <mc:Fallback>
        <control shapeId="1059" r:id="rId20" name="ComboBox8"/>
      </mc:Fallback>
    </mc:AlternateContent>
    <mc:AlternateContent xmlns:mc="http://schemas.openxmlformats.org/markup-compatibility/2006">
      <mc:Choice Requires="x14">
        <control shapeId="1058" r:id="rId22" name="ComboBox7">
          <controlPr defaultSize="0" autoLine="0" r:id="rId23">
            <anchor moveWithCells="1">
              <from>
                <xdr:col>3</xdr:col>
                <xdr:colOff>47625</xdr:colOff>
                <xdr:row>25</xdr:row>
                <xdr:rowOff>19050</xdr:rowOff>
              </from>
              <to>
                <xdr:col>3</xdr:col>
                <xdr:colOff>876300</xdr:colOff>
                <xdr:row>25</xdr:row>
                <xdr:rowOff>209550</xdr:rowOff>
              </to>
            </anchor>
          </controlPr>
        </control>
      </mc:Choice>
      <mc:Fallback>
        <control shapeId="1058" r:id="rId22" name="ComboBox7"/>
      </mc:Fallback>
    </mc:AlternateContent>
    <mc:AlternateContent xmlns:mc="http://schemas.openxmlformats.org/markup-compatibility/2006">
      <mc:Choice Requires="x14">
        <control shapeId="1057" r:id="rId24" name="ComboBox6">
          <controlPr defaultSize="0" autoLine="0" r:id="rId25">
            <anchor moveWithCells="1">
              <from>
                <xdr:col>3</xdr:col>
                <xdr:colOff>47625</xdr:colOff>
                <xdr:row>24</xdr:row>
                <xdr:rowOff>28575</xdr:rowOff>
              </from>
              <to>
                <xdr:col>3</xdr:col>
                <xdr:colOff>876300</xdr:colOff>
                <xdr:row>24</xdr:row>
                <xdr:rowOff>219075</xdr:rowOff>
              </to>
            </anchor>
          </controlPr>
        </control>
      </mc:Choice>
      <mc:Fallback>
        <control shapeId="1057" r:id="rId24" name="ComboBox6"/>
      </mc:Fallback>
    </mc:AlternateContent>
    <mc:AlternateContent xmlns:mc="http://schemas.openxmlformats.org/markup-compatibility/2006">
      <mc:Choice Requires="x14">
        <control shapeId="1056" r:id="rId26" name="ComboBox5">
          <controlPr defaultSize="0" autoLine="0" r:id="rId27">
            <anchor moveWithCells="1">
              <from>
                <xdr:col>3</xdr:col>
                <xdr:colOff>47625</xdr:colOff>
                <xdr:row>23</xdr:row>
                <xdr:rowOff>28575</xdr:rowOff>
              </from>
              <to>
                <xdr:col>3</xdr:col>
                <xdr:colOff>876300</xdr:colOff>
                <xdr:row>23</xdr:row>
                <xdr:rowOff>219075</xdr:rowOff>
              </to>
            </anchor>
          </controlPr>
        </control>
      </mc:Choice>
      <mc:Fallback>
        <control shapeId="1056" r:id="rId26" name="ComboBox5"/>
      </mc:Fallback>
    </mc:AlternateContent>
    <mc:AlternateContent xmlns:mc="http://schemas.openxmlformats.org/markup-compatibility/2006">
      <mc:Choice Requires="x14">
        <control shapeId="1055" r:id="rId28" name="ComboBox4">
          <controlPr defaultSize="0" autoLine="0" r:id="rId29">
            <anchor moveWithCells="1">
              <from>
                <xdr:col>3</xdr:col>
                <xdr:colOff>47625</xdr:colOff>
                <xdr:row>22</xdr:row>
                <xdr:rowOff>19050</xdr:rowOff>
              </from>
              <to>
                <xdr:col>3</xdr:col>
                <xdr:colOff>876300</xdr:colOff>
                <xdr:row>22</xdr:row>
                <xdr:rowOff>209550</xdr:rowOff>
              </to>
            </anchor>
          </controlPr>
        </control>
      </mc:Choice>
      <mc:Fallback>
        <control shapeId="1055" r:id="rId28" name="ComboBox4"/>
      </mc:Fallback>
    </mc:AlternateContent>
    <mc:AlternateContent xmlns:mc="http://schemas.openxmlformats.org/markup-compatibility/2006">
      <mc:Choice Requires="x14">
        <control shapeId="1054" r:id="rId30" name="ComboBox3">
          <controlPr defaultSize="0" autoLine="0" r:id="rId31">
            <anchor moveWithCells="1">
              <from>
                <xdr:col>3</xdr:col>
                <xdr:colOff>47625</xdr:colOff>
                <xdr:row>21</xdr:row>
                <xdr:rowOff>28575</xdr:rowOff>
              </from>
              <to>
                <xdr:col>3</xdr:col>
                <xdr:colOff>876300</xdr:colOff>
                <xdr:row>21</xdr:row>
                <xdr:rowOff>219075</xdr:rowOff>
              </to>
            </anchor>
          </controlPr>
        </control>
      </mc:Choice>
      <mc:Fallback>
        <control shapeId="1054" r:id="rId30" name="ComboBox3"/>
      </mc:Fallback>
    </mc:AlternateContent>
    <mc:AlternateContent xmlns:mc="http://schemas.openxmlformats.org/markup-compatibility/2006">
      <mc:Choice Requires="x14">
        <control shapeId="1053" r:id="rId32" name="ComboBox2">
          <controlPr defaultSize="0" autoLine="0" r:id="rId33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3</xdr:col>
                <xdr:colOff>876300</xdr:colOff>
                <xdr:row>20</xdr:row>
                <xdr:rowOff>219075</xdr:rowOff>
              </to>
            </anchor>
          </controlPr>
        </control>
      </mc:Choice>
      <mc:Fallback>
        <control shapeId="1053" r:id="rId32" name="ComboBox2"/>
      </mc:Fallback>
    </mc:AlternateContent>
    <mc:AlternateContent xmlns:mc="http://schemas.openxmlformats.org/markup-compatibility/2006">
      <mc:Choice Requires="x14">
        <control shapeId="1048" r:id="rId34" name="Begin">
          <controlPr defaultSize="0" autoLine="0" r:id="rId35">
            <anchor moveWithCells="1">
              <from>
                <xdr:col>5</xdr:col>
                <xdr:colOff>228600</xdr:colOff>
                <xdr:row>9</xdr:row>
                <xdr:rowOff>95250</xdr:rowOff>
              </from>
              <to>
                <xdr:col>5</xdr:col>
                <xdr:colOff>666750</xdr:colOff>
                <xdr:row>10</xdr:row>
                <xdr:rowOff>95250</xdr:rowOff>
              </to>
            </anchor>
          </controlPr>
        </control>
      </mc:Choice>
      <mc:Fallback>
        <control shapeId="1048" r:id="rId34" name="Begin"/>
      </mc:Fallback>
    </mc:AlternateContent>
    <mc:AlternateContent xmlns:mc="http://schemas.openxmlformats.org/markup-compatibility/2006">
      <mc:Choice Requires="x14">
        <control shapeId="1041" r:id="rId36" name="ComboBox1">
          <controlPr defaultSize="0" autoLine="0" r:id="rId37">
            <anchor moveWithCells="1">
              <from>
                <xdr:col>3</xdr:col>
                <xdr:colOff>47625</xdr:colOff>
                <xdr:row>19</xdr:row>
                <xdr:rowOff>28575</xdr:rowOff>
              </from>
              <to>
                <xdr:col>3</xdr:col>
                <xdr:colOff>876300</xdr:colOff>
                <xdr:row>19</xdr:row>
                <xdr:rowOff>219075</xdr:rowOff>
              </to>
            </anchor>
          </controlPr>
        </control>
      </mc:Choice>
      <mc:Fallback>
        <control shapeId="1041" r:id="rId36" name="ComboBox1"/>
      </mc:Fallback>
    </mc:AlternateContent>
    <mc:AlternateContent xmlns:mc="http://schemas.openxmlformats.org/markup-compatibility/2006">
      <mc:Choice Requires="x14">
        <control shapeId="1026" r:id="rId38" name="Import">
          <controlPr defaultSize="0" autoLine="0" r:id="rId39">
            <anchor moveWithCells="1">
              <from>
                <xdr:col>5</xdr:col>
                <xdr:colOff>219075</xdr:colOff>
                <xdr:row>6</xdr:row>
                <xdr:rowOff>85725</xdr:rowOff>
              </from>
              <to>
                <xdr:col>5</xdr:col>
                <xdr:colOff>666750</xdr:colOff>
                <xdr:row>7</xdr:row>
                <xdr:rowOff>95250</xdr:rowOff>
              </to>
            </anchor>
          </controlPr>
        </control>
      </mc:Choice>
      <mc:Fallback>
        <control shapeId="1026" r:id="rId38" name="Import"/>
      </mc:Fallback>
    </mc:AlternateContent>
    <mc:AlternateContent xmlns:mc="http://schemas.openxmlformats.org/markup-compatibility/2006">
      <mc:Choice Requires="x14">
        <control shapeId="1029" r:id="rId40" name="CommandButton2">
          <controlPr defaultSize="0" autoLine="0" r:id="rId41">
            <anchor moveWithCells="1">
              <from>
                <xdr:col>5</xdr:col>
                <xdr:colOff>838200</xdr:colOff>
                <xdr:row>6</xdr:row>
                <xdr:rowOff>95250</xdr:rowOff>
              </from>
              <to>
                <xdr:col>5</xdr:col>
                <xdr:colOff>1285875</xdr:colOff>
                <xdr:row>7</xdr:row>
                <xdr:rowOff>95250</xdr:rowOff>
              </to>
            </anchor>
          </controlPr>
        </control>
      </mc:Choice>
      <mc:Fallback>
        <control shapeId="1029" r:id="rId40" name="CommandButton2"/>
      </mc:Fallback>
    </mc:AlternateContent>
    <mc:AlternateContent xmlns:mc="http://schemas.openxmlformats.org/markup-compatibility/2006">
      <mc:Choice Requires="x14">
        <control shapeId="1030" r:id="rId42" name="Clearbut">
          <controlPr defaultSize="0" autoLine="0" r:id="rId43">
            <anchor moveWithCells="1">
              <from>
                <xdr:col>5</xdr:col>
                <xdr:colOff>209550</xdr:colOff>
                <xdr:row>7</xdr:row>
                <xdr:rowOff>171450</xdr:rowOff>
              </from>
              <to>
                <xdr:col>5</xdr:col>
                <xdr:colOff>657225</xdr:colOff>
                <xdr:row>8</xdr:row>
                <xdr:rowOff>171450</xdr:rowOff>
              </to>
            </anchor>
          </controlPr>
        </control>
      </mc:Choice>
      <mc:Fallback>
        <control shapeId="1030" r:id="rId42" name="Clearbut"/>
      </mc:Fallback>
    </mc:AlternateContent>
    <mc:AlternateContent xmlns:mc="http://schemas.openxmlformats.org/markup-compatibility/2006">
      <mc:Choice Requires="x14">
        <control shapeId="1039" r:id="rId44" name="Reset">
          <controlPr defaultSize="0" autoLine="0" r:id="rId45">
            <anchor moveWithCells="1">
              <from>
                <xdr:col>5</xdr:col>
                <xdr:colOff>847725</xdr:colOff>
                <xdr:row>9</xdr:row>
                <xdr:rowOff>104775</xdr:rowOff>
              </from>
              <to>
                <xdr:col>5</xdr:col>
                <xdr:colOff>1285875</xdr:colOff>
                <xdr:row>10</xdr:row>
                <xdr:rowOff>104775</xdr:rowOff>
              </to>
            </anchor>
          </controlPr>
        </control>
      </mc:Choice>
      <mc:Fallback>
        <control shapeId="1039" r:id="rId44" name="Reset"/>
      </mc:Fallback>
    </mc:AlternateContent>
    <mc:AlternateContent xmlns:mc="http://schemas.openxmlformats.org/markup-compatibility/2006">
      <mc:Choice Requires="x14">
        <control shapeId="1073" r:id="rId46" name="Deletes">
          <controlPr defaultSize="0" autoLine="0" r:id="rId47">
            <anchor moveWithCells="1">
              <from>
                <xdr:col>5</xdr:col>
                <xdr:colOff>838200</xdr:colOff>
                <xdr:row>7</xdr:row>
                <xdr:rowOff>171450</xdr:rowOff>
              </from>
              <to>
                <xdr:col>5</xdr:col>
                <xdr:colOff>1276350</xdr:colOff>
                <xdr:row>8</xdr:row>
                <xdr:rowOff>171450</xdr:rowOff>
              </to>
            </anchor>
          </controlPr>
        </control>
      </mc:Choice>
      <mc:Fallback>
        <control shapeId="1073" r:id="rId46" name="Dele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ED48-E177-4B78-B403-E7726E302D1E}">
  <sheetPr codeName="Sheet8"/>
  <dimension ref="A2:J38"/>
  <sheetViews>
    <sheetView zoomScaleNormal="100" workbookViewId="0">
      <selection activeCell="B15" sqref="B15"/>
    </sheetView>
  </sheetViews>
  <sheetFormatPr defaultColWidth="0" defaultRowHeight="15" x14ac:dyDescent="0.25"/>
  <cols>
    <col min="1" max="1" width="9.140625" style="1" customWidth="1"/>
    <col min="2" max="2" width="24.140625" style="4" customWidth="1"/>
    <col min="3" max="3" width="25" style="6" customWidth="1"/>
    <col min="4" max="4" width="30" style="6" customWidth="1"/>
    <col min="5" max="5" width="46.28515625" style="6" customWidth="1"/>
    <col min="6" max="8" width="30" style="6" customWidth="1"/>
    <col min="9" max="10" width="9.140625" customWidth="1"/>
    <col min="11" max="16384" width="9.140625" hidden="1"/>
  </cols>
  <sheetData>
    <row r="2" spans="1:8" x14ac:dyDescent="0.25">
      <c r="A2" s="1" t="s">
        <v>13</v>
      </c>
      <c r="B2" s="3" t="s">
        <v>11</v>
      </c>
      <c r="C2" s="2" t="s">
        <v>0</v>
      </c>
      <c r="D2" s="2" t="s">
        <v>1</v>
      </c>
      <c r="E2" s="2" t="s">
        <v>12</v>
      </c>
      <c r="F2" s="2" t="s">
        <v>2</v>
      </c>
      <c r="G2" s="2" t="s">
        <v>3</v>
      </c>
      <c r="H2" s="2"/>
    </row>
    <row r="3" spans="1:8" x14ac:dyDescent="0.25">
      <c r="A3" s="1">
        <v>1</v>
      </c>
      <c r="B3" s="7" t="e" cm="1">
        <f t="array" ref="B3">_xlfn.IFS(AND(#REF!&lt;&gt;"",#REF!&lt;&gt;""),TEXT(#REF!," hh:mm:ss")&amp;"| "&amp;#REF!,AND(#REF!&lt;&gt;"",#REF!&lt;&gt;""),TEXT(#REF!," hh:mm:ss")&amp;"| "&amp;#REF!,AND(#REF!&lt;&gt;"",#REF!&lt;&gt;""),TEXT(#REF!," hh:mm:ss")&amp;"| "&amp;#REF!,AND(#REF!&lt;&gt;"",#REF!&lt;&gt;""),TEXT(#REF!," hh:mm:ss")&amp;"| "&amp;#REF!,AND(#REF!&lt;&gt;"",#REF!&lt;&gt;""),TEXT(#REF!," hh:mm:ss")&amp;"| "&amp;#REF!)</f>
        <v>#REF!</v>
      </c>
      <c r="C3" s="5" t="e">
        <f>IF(#REF!="","",TEXT(#REF!," hh:mm:ss")&amp;"| "&amp;#REF!)</f>
        <v>#REF!</v>
      </c>
      <c r="D3" s="5" t="e">
        <f>IF(#REF!="","",TEXT(#REF!," hh:mm:ss")&amp;"| "&amp;#REF!)</f>
        <v>#REF!</v>
      </c>
      <c r="E3" s="5" t="e">
        <f>IF(#REF!="","",TEXT(#REF!," hh:mm:ss")&amp;"| "&amp;#REF!)</f>
        <v>#REF!</v>
      </c>
      <c r="F3" s="5" t="e" cm="1">
        <f t="array" ref="F3">IF(#REF!="","",TEXT(TRANSPOSE(_xlfn.TEXTSPLIT(_xlfn.TEXTJOIN("|",TRUE,IF(RIGHT(#REF!,6)&lt;&gt;"Normal",#REF!,"")),"|"))," hh:mm:ss")&amp;" | "&amp;TRANSPOSE(_xlfn.TEXTSPLIT(_xlfn.TEXTJOIN("|",TRUE,IF(RIGHT(#REF!,6)&lt;&gt;"Normal",#REF!,"")),"|")))</f>
        <v>#REF!</v>
      </c>
      <c r="G3" s="5" t="e" cm="1">
        <f t="array" ref="G3">IF(#REF!="","",TEXT(TRANSPOSE(_xlfn.TEXTSPLIT(_xlfn.TEXTJOIN("|",TRUE,IF(RIGHT(#REF!,6)&lt;&gt;"Normal",#REF!,"")),"|"))," hh:mm:ss")&amp;" | "&amp;TRANSPOSE(_xlfn.TEXTSPLIT(_xlfn.TEXTJOIN("|",TRUE,IF(RIGHT(#REF!,6)&lt;&gt;"Normal",#REF!,"")),"|")))</f>
        <v>#REF!</v>
      </c>
      <c r="H3" s="5"/>
    </row>
    <row r="4" spans="1:8" x14ac:dyDescent="0.25">
      <c r="A4" s="1">
        <v>2</v>
      </c>
      <c r="B4" s="7" t="e">
        <f>IF(AND(#REF!&lt;&gt;"",B3&lt;&gt;""),TEXT(TIMEVALUE(LEFT(B3,9))+0.000694444446708076*(2)," hh:mm:ss")&amp;"| "&amp;#REF!,"")</f>
        <v>#REF!</v>
      </c>
      <c r="C4" s="5" t="e">
        <f>IF(#REF!="","",TEXT(#REF!," hh:mm:ss")&amp;"| "&amp;#REF!)</f>
        <v>#REF!</v>
      </c>
      <c r="D4" s="5" t="e">
        <f>IF(#REF!="","",TEXT(#REF!," hh:mm:ss")&amp;"| "&amp;#REF!)</f>
        <v>#REF!</v>
      </c>
      <c r="E4" s="5" t="e">
        <f>IF(#REF!="","",TEXT(#REF!," hh:mm:ss")&amp;"| "&amp;#REF!)</f>
        <v>#REF!</v>
      </c>
      <c r="F4" s="5"/>
      <c r="G4" s="5"/>
      <c r="H4" s="5"/>
    </row>
    <row r="5" spans="1:8" x14ac:dyDescent="0.25">
      <c r="A5" s="1">
        <v>3</v>
      </c>
      <c r="B5" s="7" t="e">
        <f>IF(AND(#REF!&lt;&gt;"",B4&lt;&gt;""),TEXT(TIMEVALUE(LEFT(B4,9))+0.000694444446708076*(2)," hh:mm:ss")&amp;"| "&amp;#REF!,"")</f>
        <v>#REF!</v>
      </c>
      <c r="C5" s="5" t="e">
        <f>IF(#REF!="","",TEXT(#REF!," hh:mm:ss")&amp;"| "&amp;#REF!)</f>
        <v>#REF!</v>
      </c>
      <c r="D5" s="5" t="e">
        <f>IF(#REF!="","",TEXT(#REF!," hh:mm:ss")&amp;"| "&amp;#REF!)</f>
        <v>#REF!</v>
      </c>
      <c r="E5" s="5" t="e">
        <f>IF(#REF!="","",TEXT(#REF!," hh:mm:ss")&amp;"| "&amp;#REF!)</f>
        <v>#REF!</v>
      </c>
      <c r="F5" s="5"/>
      <c r="G5" s="5"/>
      <c r="H5" s="5"/>
    </row>
    <row r="6" spans="1:8" x14ac:dyDescent="0.25">
      <c r="A6" s="1">
        <v>4</v>
      </c>
      <c r="B6" s="7" t="e">
        <f>IF(AND(#REF!&lt;&gt;"",B5&lt;&gt;""),TEXT(TIMEVALUE(LEFT(B5,9))+0.000694444446708076*(2)," hh:mm:ss")&amp;"| "&amp;#REF!,"")</f>
        <v>#REF!</v>
      </c>
      <c r="C6" s="5" t="e">
        <f>IF(#REF!="","",TEXT(#REF!," hh:mm:ss")&amp;"| "&amp;#REF!)</f>
        <v>#REF!</v>
      </c>
      <c r="D6" s="5" t="e">
        <f>IF(#REF!="","",TEXT(#REF!," hh:mm:ss")&amp;"| "&amp;#REF!)</f>
        <v>#REF!</v>
      </c>
      <c r="E6" s="5" t="e">
        <f>IF(#REF!="","",TEXT(#REF!," hh:mm:ss")&amp;"| "&amp;#REF!)</f>
        <v>#REF!</v>
      </c>
      <c r="F6" s="5"/>
      <c r="G6" s="5"/>
      <c r="H6" s="5"/>
    </row>
    <row r="7" spans="1:8" ht="30" x14ac:dyDescent="0.25">
      <c r="A7" s="1">
        <v>5</v>
      </c>
      <c r="B7" s="7" t="e">
        <f>IF(AND(#REF!&lt;&gt;"",B6&lt;&gt;""),TEXT(TIMEVALUE(LEFT(B6,9))+0.000694444446708076*(2)," hh:mm:ss")&amp;"| "&amp;#REF!,"")</f>
        <v>#REF!</v>
      </c>
      <c r="C7" s="5" t="e">
        <f>IF(#REF!="","",TEXT(#REF!," hh:mm:ss")&amp;"| "&amp;#REF!)</f>
        <v>#REF!</v>
      </c>
      <c r="D7" s="5" t="e">
        <f>IF(#REF!="","",TEXT(#REF!," hh:mm:ss")&amp;"| "&amp;#REF!)</f>
        <v>#REF!</v>
      </c>
      <c r="E7" s="5" t="e">
        <f>IF(#REF!="","",TEXT(#REF!," hh:mm:ss")&amp;"| "&amp;#REF!)</f>
        <v>#REF!</v>
      </c>
      <c r="F7" s="5"/>
      <c r="G7" s="5"/>
      <c r="H7" s="5"/>
    </row>
    <row r="8" spans="1:8" x14ac:dyDescent="0.25">
      <c r="A8" s="1">
        <v>6</v>
      </c>
      <c r="B8" s="7" t="e">
        <f>IF(AND(#REF!&lt;&gt;"",B7&lt;&gt;""),TEXT(TIMEVALUE(LEFT(B7,9))+0.000694444446708076*(2)," hh:mm:ss")&amp;"| "&amp;#REF!,"")</f>
        <v>#REF!</v>
      </c>
      <c r="C8" s="5" t="e">
        <f>IF(#REF!="","",TEXT(#REF!," hh:mm:ss")&amp;"| "&amp;#REF!)</f>
        <v>#REF!</v>
      </c>
      <c r="D8" s="5" t="e">
        <f>IF(#REF!="","",TEXT(#REF!," hh:mm:ss")&amp;"| "&amp;#REF!)</f>
        <v>#REF!</v>
      </c>
      <c r="E8" s="5" t="e">
        <f>IF(#REF!="","",TEXT(#REF!," hh:mm:ss")&amp;"| "&amp;#REF!)</f>
        <v>#REF!</v>
      </c>
      <c r="F8" s="5"/>
      <c r="G8" s="5"/>
      <c r="H8" s="5"/>
    </row>
    <row r="9" spans="1:8" x14ac:dyDescent="0.25">
      <c r="A9" s="1">
        <v>7</v>
      </c>
      <c r="B9" s="7" t="e">
        <f>IF(AND(#REF!&lt;&gt;"",B8&lt;&gt;""),TEXT(TIMEVALUE(LEFT(B8,9))+0.000694444446708076*(2)," hh:mm:ss")&amp;"| "&amp;#REF!,"")</f>
        <v>#REF!</v>
      </c>
      <c r="C9" s="5" t="e">
        <f>IF(#REF!="","",TEXT(#REF!," hh:mm:ss")&amp;"| "&amp;#REF!)</f>
        <v>#REF!</v>
      </c>
      <c r="D9" s="5" t="e">
        <f>IF(#REF!="","",TEXT(#REF!," hh:mm:ss")&amp;"| "&amp;#REF!)</f>
        <v>#REF!</v>
      </c>
      <c r="E9" s="5" t="e">
        <f>IF(#REF!="","",TEXT(#REF!," hh:mm:ss")&amp;"| "&amp;#REF!)</f>
        <v>#REF!</v>
      </c>
      <c r="F9" s="5"/>
      <c r="G9" s="5"/>
      <c r="H9" s="5"/>
    </row>
    <row r="10" spans="1:8" x14ac:dyDescent="0.25">
      <c r="A10" s="1">
        <v>8</v>
      </c>
      <c r="B10" s="7" t="e">
        <f>IF(AND(#REF!&lt;&gt;"",B9&lt;&gt;""),TEXT(TIMEVALUE(LEFT(B9,9))+0.000694444446708076*(2)," hh:mm:ss")&amp;"| "&amp;#REF!,"")</f>
        <v>#REF!</v>
      </c>
      <c r="C10" s="5" t="e">
        <f>IF(#REF!="","",TEXT(#REF!," hh:mm:ss")&amp;"| "&amp;#REF!)</f>
        <v>#REF!</v>
      </c>
      <c r="D10" s="5" t="e">
        <f>IF(#REF!="","",TEXT(#REF!," hh:mm:ss")&amp;"| "&amp;#REF!)</f>
        <v>#REF!</v>
      </c>
      <c r="E10" s="5" t="e">
        <f>IF(#REF!="","",TEXT(#REF!," hh:mm:ss")&amp;"| "&amp;#REF!)</f>
        <v>#REF!</v>
      </c>
      <c r="F10" s="5"/>
      <c r="G10" s="5"/>
      <c r="H10" s="5"/>
    </row>
    <row r="11" spans="1:8" x14ac:dyDescent="0.25">
      <c r="A11" s="1">
        <v>9</v>
      </c>
      <c r="B11" s="7" t="e">
        <f>IF(AND(#REF!&lt;&gt;"",B10&lt;&gt;""),TEXT(TIMEVALUE(LEFT(B10,9))+0.000694444446708076*(2)," hh:mm:ss")&amp;"| "&amp;#REF!,"")</f>
        <v>#REF!</v>
      </c>
      <c r="C11" s="5" t="e">
        <f>IF(#REF!="","",TEXT(#REF!," hh:mm:ss")&amp;"| "&amp;#REF!)</f>
        <v>#REF!</v>
      </c>
      <c r="D11" s="5" t="e">
        <f>IF(#REF!="","",TEXT(#REF!," hh:mm:ss")&amp;"| "&amp;#REF!)</f>
        <v>#REF!</v>
      </c>
      <c r="E11" s="5" t="e">
        <f>IF(#REF!="","",TEXT(#REF!," hh:mm:ss")&amp;"| "&amp;#REF!)</f>
        <v>#REF!</v>
      </c>
      <c r="F11" s="5"/>
      <c r="G11" s="5"/>
      <c r="H11" s="5"/>
    </row>
    <row r="12" spans="1:8" x14ac:dyDescent="0.25">
      <c r="A12" s="1">
        <v>10</v>
      </c>
      <c r="B12" s="7" t="e">
        <f>IF(AND(#REF!&lt;&gt;"",B11&lt;&gt;""),TEXT(TIMEVALUE(LEFT(B11,9))+0.000694444446708076*(2)," hh:mm:ss")&amp;"| "&amp;#REF!,"")</f>
        <v>#REF!</v>
      </c>
      <c r="C12" s="5" t="e">
        <f>IF(#REF!="","",TEXT(#REF!," hh:mm:ss")&amp;"| "&amp;#REF!)</f>
        <v>#REF!</v>
      </c>
      <c r="D12" s="5" t="e">
        <f>IF(#REF!="","",TEXT(#REF!," hh:mm:ss")&amp;"| "&amp;#REF!)</f>
        <v>#REF!</v>
      </c>
      <c r="E12" s="5" t="e">
        <f>IF(#REF!="","",TEXT(#REF!," hh:mm:ss")&amp;"| "&amp;#REF!)</f>
        <v>#REF!</v>
      </c>
      <c r="F12" s="5"/>
      <c r="G12" s="5"/>
      <c r="H12" s="5"/>
    </row>
    <row r="13" spans="1:8" x14ac:dyDescent="0.25">
      <c r="A13" s="1">
        <v>11</v>
      </c>
      <c r="B13" s="7" t="e">
        <f>IF(AND(#REF!&lt;&gt;"",B12&lt;&gt;""),TEXT(TIMEVALUE(LEFT(B12,9))+0.000694444446708076*(2)," hh:mm:ss")&amp;"| "&amp;#REF!,"")</f>
        <v>#REF!</v>
      </c>
      <c r="C13" s="5" t="e">
        <f>IF(#REF!="","",TEXT(#REF!," hh:mm:ss")&amp;"| "&amp;#REF!)</f>
        <v>#REF!</v>
      </c>
      <c r="D13" s="5" t="e">
        <f>IF(#REF!="","",TEXT(#REF!," hh:mm:ss")&amp;"| "&amp;#REF!)</f>
        <v>#REF!</v>
      </c>
      <c r="E13" s="5" t="e">
        <f>IF(#REF!="","",TEXT(#REF!," hh:mm:ss")&amp;"| "&amp;#REF!)</f>
        <v>#REF!</v>
      </c>
      <c r="F13" s="5"/>
      <c r="G13" s="5"/>
      <c r="H13" s="5"/>
    </row>
    <row r="14" spans="1:8" x14ac:dyDescent="0.25">
      <c r="A14" s="1">
        <v>12</v>
      </c>
      <c r="B14" s="7" t="e">
        <f>IF(AND(#REF!&lt;&gt;"",B13&lt;&gt;""),TEXT(TIMEVALUE(LEFT(B13,9))+0.000694444446708076*(2)," hh:mm:ss")&amp;"| "&amp;#REF!,"")</f>
        <v>#REF!</v>
      </c>
      <c r="C14" s="5" t="e">
        <f>IF(#REF!="","",TEXT(#REF!," hh:mm:ss")&amp;"| "&amp;#REF!)</f>
        <v>#REF!</v>
      </c>
      <c r="D14" s="5" t="e">
        <f>IF(#REF!="","",TEXT(#REF!," hh:mm:ss")&amp;"| "&amp;#REF!)</f>
        <v>#REF!</v>
      </c>
      <c r="E14" s="5" t="e">
        <f>IF(#REF!="","",TEXT(#REF!," hh:mm:ss")&amp;"| "&amp;#REF!)</f>
        <v>#REF!</v>
      </c>
      <c r="F14" s="5"/>
      <c r="G14" s="5"/>
      <c r="H14" s="5"/>
    </row>
    <row r="15" spans="1:8" x14ac:dyDescent="0.25">
      <c r="A15" s="1">
        <v>13</v>
      </c>
      <c r="B15" s="7" t="e">
        <f>IF(AND(#REF!&lt;&gt;"",B14&lt;&gt;""),TEXT(TIMEVALUE(LEFT(B14,9))+0.000694444446708076*(2)," hh:mm:ss")&amp;"| "&amp;#REF!,"")</f>
        <v>#REF!</v>
      </c>
      <c r="C15" s="5" t="e">
        <f>IF(#REF!="","",TEXT(#REF!," hh:mm:ss")&amp;"| "&amp;#REF!)</f>
        <v>#REF!</v>
      </c>
      <c r="D15" s="5" t="e">
        <f>IF(#REF!="","",TEXT(#REF!," hh:mm:ss")&amp;"| "&amp;#REF!)</f>
        <v>#REF!</v>
      </c>
      <c r="E15" s="5" t="e">
        <f>IF(#REF!="","",TEXT(#REF!," hh:mm:ss")&amp;"| "&amp;#REF!)</f>
        <v>#REF!</v>
      </c>
      <c r="F15" s="5"/>
      <c r="G15" s="5"/>
      <c r="H15" s="5"/>
    </row>
    <row r="16" spans="1:8" x14ac:dyDescent="0.25">
      <c r="A16" s="1">
        <v>14</v>
      </c>
      <c r="B16" s="7" t="e">
        <f>IF(AND(#REF!&lt;&gt;"",B15&lt;&gt;""),TEXT(TIMEVALUE(LEFT(B15,9))+0.000694444446708076*(2)," hh:mm:ss")&amp;"| "&amp;#REF!,"")</f>
        <v>#REF!</v>
      </c>
      <c r="C16" s="5" t="e">
        <f>IF(#REF!="","",TEXT(#REF!," hh:mm:ss")&amp;"| "&amp;#REF!)</f>
        <v>#REF!</v>
      </c>
      <c r="D16" s="5" t="e">
        <f>IF(#REF!="","",TEXT(#REF!," hh:mm:ss")&amp;"| "&amp;#REF!)</f>
        <v>#REF!</v>
      </c>
      <c r="E16" s="5" t="e">
        <f>IF(#REF!="","",TEXT(#REF!," hh:mm:ss")&amp;"| "&amp;#REF!)</f>
        <v>#REF!</v>
      </c>
      <c r="F16" s="5"/>
      <c r="G16" s="5"/>
      <c r="H16" s="5"/>
    </row>
    <row r="17" spans="1:8" x14ac:dyDescent="0.25">
      <c r="A17" s="1">
        <v>15</v>
      </c>
      <c r="B17" s="7" t="e">
        <f>IF(AND(#REF!&lt;&gt;"",B16&lt;&gt;""),TEXT(TIMEVALUE(LEFT(B16,9))+0.000694444446708076*(2)," hh:mm:ss")&amp;"| "&amp;#REF!,"")</f>
        <v>#REF!</v>
      </c>
      <c r="C17" s="5" t="e">
        <f>IF(#REF!="","",TEXT(#REF!," hh:mm:ss")&amp;"| "&amp;#REF!)</f>
        <v>#REF!</v>
      </c>
      <c r="D17" s="5" t="e">
        <f>IF(#REF!="","",TEXT(#REF!," hh:mm:ss")&amp;"| "&amp;#REF!)</f>
        <v>#REF!</v>
      </c>
      <c r="E17" s="5" t="e">
        <f>IF(#REF!="","",TEXT(#REF!," hh:mm:ss")&amp;"| "&amp;#REF!)</f>
        <v>#REF!</v>
      </c>
      <c r="F17" s="5"/>
      <c r="G17" s="5"/>
      <c r="H17" s="5"/>
    </row>
    <row r="18" spans="1:8" x14ac:dyDescent="0.25">
      <c r="A18" s="1">
        <v>16</v>
      </c>
      <c r="B18" s="7" t="e">
        <f>IF(AND(#REF!&lt;&gt;"",B17&lt;&gt;""),TEXT(TIMEVALUE(LEFT(B17,9))+0.000694444446708076*(2)," hh:mm:ss")&amp;"| "&amp;#REF!,"")</f>
        <v>#REF!</v>
      </c>
      <c r="C18" s="5" t="e">
        <f>IF(#REF!="","",TEXT(#REF!," hh:mm:ss")&amp;"| "&amp;#REF!)</f>
        <v>#REF!</v>
      </c>
      <c r="D18" s="5" t="e">
        <f>IF(#REF!="","",TEXT(#REF!," hh:mm:ss")&amp;"| "&amp;#REF!)</f>
        <v>#REF!</v>
      </c>
      <c r="E18" s="5" t="e">
        <f>IF(#REF!="","",TEXT(#REF!," hh:mm:ss")&amp;"| "&amp;#REF!)</f>
        <v>#REF!</v>
      </c>
      <c r="F18" s="5"/>
      <c r="G18" s="5"/>
      <c r="H18" s="5"/>
    </row>
    <row r="19" spans="1:8" x14ac:dyDescent="0.25">
      <c r="A19" s="1">
        <v>17</v>
      </c>
      <c r="B19" s="7" t="e">
        <f>IF(AND(#REF!&lt;&gt;"",B18&lt;&gt;""),TEXT(TIMEVALUE(LEFT(B18,9))+0.000694444446708076*(2)," hh:mm:ss")&amp;"| "&amp;#REF!,"")</f>
        <v>#REF!</v>
      </c>
      <c r="C19" s="5" t="e">
        <f>IF(#REF!="","",TEXT(#REF!," hh:mm:ss")&amp;"| "&amp;#REF!)</f>
        <v>#REF!</v>
      </c>
      <c r="D19" s="5" t="e">
        <f>IF(#REF!="","",TEXT(#REF!," hh:mm:ss")&amp;"| "&amp;#REF!)</f>
        <v>#REF!</v>
      </c>
      <c r="E19" s="5" t="e">
        <f>IF(#REF!="","",TEXT(#REF!," hh:mm:ss")&amp;"| "&amp;#REF!)</f>
        <v>#REF!</v>
      </c>
      <c r="F19" s="5"/>
      <c r="G19" s="5"/>
      <c r="H19" s="5"/>
    </row>
    <row r="20" spans="1:8" x14ac:dyDescent="0.25">
      <c r="A20" s="1">
        <v>18</v>
      </c>
      <c r="B20" s="7" t="e">
        <f>IF(AND(#REF!&lt;&gt;"",B19&lt;&gt;""),TEXT(TIMEVALUE(LEFT(B19,9))+0.000694444446708076*(2)," hh:mm:ss")&amp;"| "&amp;#REF!,"")</f>
        <v>#REF!</v>
      </c>
      <c r="C20" s="5" t="e">
        <f>IF(#REF!="","",TEXT(#REF!," hh:mm:ss")&amp;"| "&amp;#REF!)</f>
        <v>#REF!</v>
      </c>
      <c r="D20" s="5" t="e">
        <f>IF(#REF!="","",TEXT(#REF!," hh:mm:ss")&amp;"| "&amp;#REF!)</f>
        <v>#REF!</v>
      </c>
      <c r="E20" s="5" t="e">
        <f>IF(#REF!="","",TEXT(#REF!," hh:mm:ss")&amp;"| "&amp;#REF!)</f>
        <v>#REF!</v>
      </c>
      <c r="F20" s="5"/>
      <c r="G20" s="5"/>
      <c r="H20" s="5"/>
    </row>
    <row r="21" spans="1:8" x14ac:dyDescent="0.25">
      <c r="A21" s="1">
        <v>19</v>
      </c>
      <c r="B21" s="7" t="e">
        <f>IF(AND(#REF!&lt;&gt;"",B20&lt;&gt;""),TEXT(TIMEVALUE(LEFT(B20,9))+0.000694444446708076*(2)," hh:mm:ss")&amp;"| "&amp;#REF!,"")</f>
        <v>#REF!</v>
      </c>
      <c r="C21" s="5" t="e">
        <f>IF(#REF!="","",TEXT(#REF!," hh:mm:ss")&amp;"| "&amp;#REF!)</f>
        <v>#REF!</v>
      </c>
      <c r="D21" s="5" t="e">
        <f>IF(#REF!="","",TEXT(#REF!," hh:mm:ss")&amp;"| "&amp;#REF!)</f>
        <v>#REF!</v>
      </c>
      <c r="E21" s="5" t="e">
        <f>IF(#REF!="","",TEXT(#REF!," hh:mm:ss")&amp;"| "&amp;#REF!)</f>
        <v>#REF!</v>
      </c>
      <c r="F21" s="5"/>
      <c r="G21" s="5"/>
      <c r="H21" s="5"/>
    </row>
    <row r="22" spans="1:8" x14ac:dyDescent="0.25">
      <c r="A22" s="1">
        <v>20</v>
      </c>
      <c r="B22" s="7" t="e">
        <f>IF(AND(#REF!&lt;&gt;"",B21&lt;&gt;""),TEXT(TIMEVALUE(LEFT(B21,9))+0.000694444446708076*(2)," hh:mm:ss")&amp;"| "&amp;#REF!,"")</f>
        <v>#REF!</v>
      </c>
      <c r="C22" s="5" t="e">
        <f>IF(#REF!="","",TEXT(#REF!," hh:mm:ss")&amp;"| "&amp;#REF!)</f>
        <v>#REF!</v>
      </c>
      <c r="D22" s="5" t="e">
        <f>IF(#REF!="","",TEXT(#REF!," hh:mm:ss")&amp;"| "&amp;#REF!)</f>
        <v>#REF!</v>
      </c>
      <c r="E22" s="5" t="e">
        <f>IF(#REF!="","",TEXT(#REF!," hh:mm:ss")&amp;"| "&amp;#REF!)</f>
        <v>#REF!</v>
      </c>
      <c r="F22" s="5"/>
      <c r="G22" s="5"/>
      <c r="H22" s="5"/>
    </row>
    <row r="23" spans="1:8" x14ac:dyDescent="0.25">
      <c r="A23" s="1">
        <v>21</v>
      </c>
      <c r="B23" s="7" t="e">
        <f>IF(AND(#REF!&lt;&gt;"",B22&lt;&gt;""),TEXT(TIMEVALUE(LEFT(B22,9))+0.000694444446708076*(2)," hh:mm:ss")&amp;"| "&amp;#REF!,"")</f>
        <v>#REF!</v>
      </c>
      <c r="C23" s="5" t="e">
        <f>IF(#REF!="","",TEXT(#REF!," hh:mm:ss")&amp;"| "&amp;#REF!)</f>
        <v>#REF!</v>
      </c>
      <c r="D23" s="5" t="e">
        <f>IF(#REF!="","",TEXT(#REF!," hh:mm:ss")&amp;"| "&amp;#REF!)</f>
        <v>#REF!</v>
      </c>
      <c r="E23" s="5" t="e">
        <f>IF(#REF!="","",TEXT(#REF!," hh:mm:ss")&amp;"| "&amp;#REF!)</f>
        <v>#REF!</v>
      </c>
      <c r="F23" s="5"/>
      <c r="G23" s="5"/>
      <c r="H23" s="5"/>
    </row>
    <row r="24" spans="1:8" x14ac:dyDescent="0.25">
      <c r="A24" s="1">
        <v>22</v>
      </c>
      <c r="B24" s="7" t="e">
        <f>IF(AND(#REF!&lt;&gt;"",B23&lt;&gt;""),TEXT(TIMEVALUE(LEFT(B23,9))+0.000694444446708076*(2)," hh:mm:ss")&amp;"| "&amp;#REF!,"")</f>
        <v>#REF!</v>
      </c>
      <c r="C24" s="5" t="e">
        <f>IF(#REF!="","",TEXT(#REF!," hh:mm:ss")&amp;"| "&amp;#REF!)</f>
        <v>#REF!</v>
      </c>
      <c r="D24" s="5" t="e">
        <f>IF(#REF!="","",TEXT(#REF!," hh:mm:ss")&amp;"| "&amp;#REF!)</f>
        <v>#REF!</v>
      </c>
      <c r="E24" s="5" t="e">
        <f>IF(#REF!="","",TEXT(#REF!," hh:mm:ss")&amp;"| "&amp;#REF!)</f>
        <v>#REF!</v>
      </c>
      <c r="F24" s="5"/>
      <c r="G24" s="5"/>
      <c r="H24" s="5"/>
    </row>
    <row r="25" spans="1:8" x14ac:dyDescent="0.25">
      <c r="A25" s="1">
        <v>23</v>
      </c>
      <c r="B25" s="7" t="e">
        <f>IF(AND(#REF!&lt;&gt;"",B24&lt;&gt;""),TEXT(TIMEVALUE(LEFT(B24,9))+0.000694444446708076*(2)," hh:mm:ss")&amp;"| "&amp;#REF!,"")</f>
        <v>#REF!</v>
      </c>
      <c r="C25" s="5" t="e">
        <f>IF(#REF!="","",TEXT(#REF!," hh:mm:ss")&amp;"| "&amp;#REF!)</f>
        <v>#REF!</v>
      </c>
      <c r="D25" s="5" t="e">
        <f>IF(#REF!="","",TEXT(#REF!," hh:mm:ss")&amp;"| "&amp;#REF!)</f>
        <v>#REF!</v>
      </c>
      <c r="E25" s="5" t="e">
        <f>IF(#REF!="","",TEXT(#REF!," hh:mm:ss")&amp;"| "&amp;#REF!)</f>
        <v>#REF!</v>
      </c>
      <c r="F25" s="5"/>
      <c r="G25" s="5"/>
      <c r="H25" s="5"/>
    </row>
    <row r="26" spans="1:8" x14ac:dyDescent="0.25">
      <c r="A26" s="1">
        <v>24</v>
      </c>
      <c r="B26" s="7" t="e">
        <f>IF(AND(#REF!&lt;&gt;"",B25&lt;&gt;""),TEXT(TIMEVALUE(LEFT(B25,9))+0.000694444446708076*(2)," hh:mm:ss")&amp;"| "&amp;#REF!,"")</f>
        <v>#REF!</v>
      </c>
      <c r="C26" s="5" t="e">
        <f>IF(#REF!="","",TEXT(#REF!," hh:mm:ss")&amp;"| "&amp;#REF!)</f>
        <v>#REF!</v>
      </c>
      <c r="D26" s="5" t="e">
        <f>IF(#REF!="","",TEXT(#REF!," hh:mm:ss")&amp;"| "&amp;#REF!)</f>
        <v>#REF!</v>
      </c>
      <c r="E26" s="5" t="e">
        <f>IF(#REF!="","",TEXT(#REF!," hh:mm:ss")&amp;"| "&amp;#REF!)</f>
        <v>#REF!</v>
      </c>
      <c r="F26" s="5"/>
      <c r="G26" s="5"/>
      <c r="H26" s="5"/>
    </row>
    <row r="27" spans="1:8" x14ac:dyDescent="0.25">
      <c r="A27" s="1">
        <v>25</v>
      </c>
      <c r="B27" s="7" t="e">
        <f>IF(AND(#REF!&lt;&gt;"",B26&lt;&gt;""),TEXT(TIMEVALUE(LEFT(B26,9))+0.000694444446708076*(2)," hh:mm:ss")&amp;"| "&amp;#REF!,"")</f>
        <v>#REF!</v>
      </c>
      <c r="C27" s="5" t="e">
        <f>IF(#REF!="","",TEXT(#REF!," hh:mm:ss")&amp;"| "&amp;#REF!)</f>
        <v>#REF!</v>
      </c>
      <c r="D27" s="5" t="e">
        <f>IF(#REF!="","",TEXT(#REF!," hh:mm:ss")&amp;"| "&amp;#REF!)</f>
        <v>#REF!</v>
      </c>
      <c r="E27" s="5" t="e">
        <f>IF(#REF!="","",TEXT(#REF!," hh:mm:ss")&amp;"| "&amp;#REF!)</f>
        <v>#REF!</v>
      </c>
      <c r="F27" s="5"/>
      <c r="G27" s="5"/>
      <c r="H27" s="5"/>
    </row>
    <row r="28" spans="1:8" x14ac:dyDescent="0.25">
      <c r="A28" s="1">
        <v>26</v>
      </c>
      <c r="B28" s="7" t="e">
        <f>IF(AND(#REF!&lt;&gt;"",B27&lt;&gt;""),TEXT(TIMEVALUE(LEFT(B27,9))+0.000694444446708076*(2)," hh:mm:ss")&amp;"| "&amp;#REF!,"")</f>
        <v>#REF!</v>
      </c>
      <c r="C28" s="5" t="e">
        <f>IF(#REF!="","",TEXT(#REF!," hh:mm:ss")&amp;"| "&amp;#REF!)</f>
        <v>#REF!</v>
      </c>
      <c r="D28" s="5" t="e">
        <f>IF(#REF!="","",TEXT(#REF!," hh:mm:ss")&amp;"| "&amp;#REF!)</f>
        <v>#REF!</v>
      </c>
      <c r="E28" s="5" t="e">
        <f>IF(#REF!="","",TEXT(#REF!," hh:mm:ss")&amp;"| "&amp;#REF!)</f>
        <v>#REF!</v>
      </c>
      <c r="F28" s="5"/>
      <c r="G28" s="5"/>
      <c r="H28" s="5"/>
    </row>
    <row r="29" spans="1:8" x14ac:dyDescent="0.25">
      <c r="A29" s="1">
        <v>27</v>
      </c>
      <c r="B29" s="7" t="e">
        <f>IF(AND(#REF!&lt;&gt;"",B28&lt;&gt;""),TEXT(TIMEVALUE(LEFT(B28,9))+0.000694444446708076*(2)," hh:mm:ss")&amp;"| "&amp;#REF!,"")</f>
        <v>#REF!</v>
      </c>
      <c r="C29" s="5" t="e">
        <f>IF(#REF!="","",TEXT(#REF!," hh:mm:ss")&amp;"| "&amp;#REF!)</f>
        <v>#REF!</v>
      </c>
      <c r="D29" s="5" t="e">
        <f>IF(#REF!="","",TEXT(#REF!," hh:mm:ss")&amp;"| "&amp;#REF!)</f>
        <v>#REF!</v>
      </c>
      <c r="E29" s="5" t="e">
        <f>IF(#REF!="","",TEXT(#REF!," hh:mm:ss")&amp;"| "&amp;#REF!)</f>
        <v>#REF!</v>
      </c>
      <c r="F29" s="5"/>
      <c r="G29" s="5"/>
      <c r="H29" s="5"/>
    </row>
    <row r="30" spans="1:8" x14ac:dyDescent="0.25">
      <c r="A30" s="1">
        <v>28</v>
      </c>
      <c r="B30" s="7" t="e">
        <f>IF(AND(#REF!&lt;&gt;"",B29&lt;&gt;""),TEXT(TIMEVALUE(LEFT(B29,9))+0.000694444446708076*(2)," hh:mm:ss")&amp;"| "&amp;#REF!,"")</f>
        <v>#REF!</v>
      </c>
      <c r="C30" s="5" t="e">
        <f>IF(#REF!="","",TEXT(#REF!," hh:mm:ss")&amp;"| "&amp;#REF!)</f>
        <v>#REF!</v>
      </c>
      <c r="D30" s="5" t="e">
        <f>IF(#REF!="","",TEXT(#REF!," hh:mm:ss")&amp;"| "&amp;#REF!)</f>
        <v>#REF!</v>
      </c>
      <c r="E30" s="5" t="e">
        <f>IF(#REF!="","",TEXT(#REF!," hh:mm:ss")&amp;"| "&amp;#REF!)</f>
        <v>#REF!</v>
      </c>
      <c r="F30" s="5"/>
      <c r="G30" s="5"/>
      <c r="H30" s="5"/>
    </row>
    <row r="31" spans="1:8" x14ac:dyDescent="0.25">
      <c r="A31" s="1">
        <v>29</v>
      </c>
      <c r="B31" s="7" t="e">
        <f>IF(AND(#REF!&lt;&gt;"",B30&lt;&gt;""),TEXT(TIMEVALUE(LEFT(B30,9))+0.000694444446708076*(2)," hh:mm:ss")&amp;"| "&amp;#REF!,"")</f>
        <v>#REF!</v>
      </c>
      <c r="C31" s="5" t="e">
        <f>IF(#REF!="","",TEXT(#REF!," hh:mm:ss")&amp;"| "&amp;#REF!)</f>
        <v>#REF!</v>
      </c>
      <c r="D31" s="5" t="e">
        <f>IF(#REF!="","",TEXT(#REF!," hh:mm:ss")&amp;"| "&amp;#REF!)</f>
        <v>#REF!</v>
      </c>
      <c r="E31" s="5" t="e">
        <f>IF(#REF!="","",TEXT(#REF!," hh:mm:ss")&amp;"| "&amp;#REF!)</f>
        <v>#REF!</v>
      </c>
      <c r="F31" s="5"/>
      <c r="G31" s="5"/>
      <c r="H31" s="5"/>
    </row>
    <row r="32" spans="1:8" x14ac:dyDescent="0.25">
      <c r="A32" s="1">
        <v>30</v>
      </c>
      <c r="B32" s="7" t="e">
        <f>IF(AND(#REF!&lt;&gt;"",B31&lt;&gt;""),TEXT(TIMEVALUE(LEFT(B31,9))+0.000694444446708076*(2)," hh:mm:ss")&amp;"| "&amp;#REF!,"")</f>
        <v>#REF!</v>
      </c>
      <c r="C32" s="5" t="e">
        <f>IF(#REF!="","",TEXT(#REF!," hh:mm:ss")&amp;"| "&amp;#REF!)</f>
        <v>#REF!</v>
      </c>
      <c r="D32" s="5" t="e">
        <f>IF(#REF!="","",TEXT(#REF!," hh:mm:ss")&amp;"| "&amp;#REF!)</f>
        <v>#REF!</v>
      </c>
      <c r="E32" s="5" t="e">
        <f>IF(#REF!="","",TEXT(#REF!," hh:mm:ss")&amp;"| "&amp;#REF!)</f>
        <v>#REF!</v>
      </c>
      <c r="F32" s="5"/>
      <c r="G32" s="5"/>
      <c r="H32" s="5"/>
    </row>
    <row r="33" spans="1:8" x14ac:dyDescent="0.25">
      <c r="A33" s="1">
        <v>31</v>
      </c>
      <c r="B33" s="7" t="e">
        <f>IF(AND(#REF!&lt;&gt;"",B32&lt;&gt;""),TEXT(TIMEVALUE(LEFT(B32,9))+0.000694444446708076*(2)," hh:mm:ss")&amp;"| "&amp;#REF!,"")</f>
        <v>#REF!</v>
      </c>
      <c r="C33" s="5" t="e">
        <f>IF(#REF!="","",TEXT(#REF!," hh:mm:ss")&amp;"| "&amp;#REF!)</f>
        <v>#REF!</v>
      </c>
      <c r="D33" s="5" t="e">
        <f>IF(#REF!="","",TEXT(#REF!," hh:mm:ss")&amp;"| "&amp;#REF!)</f>
        <v>#REF!</v>
      </c>
      <c r="E33" s="5" t="e">
        <f>IF(#REF!="","",TEXT(#REF!," hh:mm:ss")&amp;"| "&amp;#REF!)</f>
        <v>#REF!</v>
      </c>
      <c r="F33" s="5"/>
      <c r="G33" s="5"/>
      <c r="H33" s="5"/>
    </row>
    <row r="34" spans="1:8" x14ac:dyDescent="0.25">
      <c r="A34" s="1">
        <v>32</v>
      </c>
      <c r="B34" s="7" t="e">
        <f>IF(AND(#REF!&lt;&gt;"",B33&lt;&gt;""),TEXT(TIMEVALUE(LEFT(B33,9))+0.000694444446708076*(2)," hh:mm:ss")&amp;"| "&amp;#REF!,"")</f>
        <v>#REF!</v>
      </c>
      <c r="C34" s="5" t="e">
        <f>IF(#REF!="","",TEXT(#REF!," hh:mm:ss")&amp;"| "&amp;#REF!)</f>
        <v>#REF!</v>
      </c>
      <c r="D34" s="5" t="e">
        <f>IF(#REF!="","",TEXT(#REF!," hh:mm:ss")&amp;"| "&amp;#REF!)</f>
        <v>#REF!</v>
      </c>
      <c r="E34" s="5" t="e">
        <f>IF(#REF!="","",TEXT(#REF!," hh:mm:ss")&amp;"| "&amp;#REF!)</f>
        <v>#REF!</v>
      </c>
      <c r="F34" s="5"/>
      <c r="G34" s="5"/>
      <c r="H34" s="5"/>
    </row>
    <row r="35" spans="1:8" x14ac:dyDescent="0.25">
      <c r="A35" s="1">
        <v>33</v>
      </c>
      <c r="B35" s="7" t="e">
        <f>IF(AND(#REF!&lt;&gt;"",B34&lt;&gt;""),TEXT(TIMEVALUE(LEFT(B34,9))+0.000694444446708076*(2)," hh:mm:ss")&amp;"| "&amp;#REF!,"")</f>
        <v>#REF!</v>
      </c>
      <c r="C35" s="5" t="e">
        <f>IF(#REF!="","",TEXT(#REF!," hh:mm:ss")&amp;"| "&amp;#REF!)</f>
        <v>#REF!</v>
      </c>
      <c r="D35" s="5" t="e">
        <f>IF(#REF!="","",TEXT(#REF!," hh:mm:ss")&amp;"| "&amp;#REF!)</f>
        <v>#REF!</v>
      </c>
      <c r="E35" s="5" t="e">
        <f>IF(#REF!="","",TEXT(#REF!," hh:mm:ss")&amp;"| "&amp;#REF!)</f>
        <v>#REF!</v>
      </c>
      <c r="F35" s="5"/>
      <c r="G35" s="5"/>
      <c r="H35" s="5"/>
    </row>
    <row r="36" spans="1:8" x14ac:dyDescent="0.25">
      <c r="A36" s="1">
        <v>34</v>
      </c>
      <c r="B36" s="7" t="e">
        <f>IF(AND(#REF!&lt;&gt;"",B35&lt;&gt;""),TEXT(TIMEVALUE(LEFT(B35,9))+0.000694444446708076*(2)," hh:mm:ss")&amp;"| "&amp;#REF!,"")</f>
        <v>#REF!</v>
      </c>
      <c r="C36" s="5" t="e">
        <f>IF(#REF!="","",TEXT(#REF!," hh:mm:ss")&amp;"| "&amp;#REF!)</f>
        <v>#REF!</v>
      </c>
      <c r="D36" s="5" t="e">
        <f>IF(#REF!="","",TEXT(#REF!," hh:mm:ss")&amp;"| "&amp;#REF!)</f>
        <v>#REF!</v>
      </c>
      <c r="E36" s="5" t="e">
        <f>IF(#REF!="","",TEXT(#REF!," hh:mm:ss")&amp;"| "&amp;#REF!)</f>
        <v>#REF!</v>
      </c>
      <c r="F36" s="5"/>
      <c r="G36" s="5"/>
      <c r="H36" s="5"/>
    </row>
    <row r="37" spans="1:8" x14ac:dyDescent="0.25">
      <c r="A37" s="1">
        <v>35</v>
      </c>
      <c r="B37" s="7" t="e">
        <f>IF(AND(#REF!&lt;&gt;"",B36&lt;&gt;""),TEXT(TIMEVALUE(LEFT(B36,9))+0.000694444446708076*(2)," hh:mm:ss")&amp;"| "&amp;#REF!,"")</f>
        <v>#REF!</v>
      </c>
      <c r="C37" s="5" t="e">
        <f>IF(#REF!="","",TEXT(#REF!," hh:mm:ss")&amp;"| "&amp;#REF!)</f>
        <v>#REF!</v>
      </c>
      <c r="D37" s="5" t="e">
        <f>IF(#REF!="","",TEXT(#REF!," hh:mm:ss")&amp;"| "&amp;#REF!)</f>
        <v>#REF!</v>
      </c>
      <c r="E37" s="5" t="e">
        <f>IF(#REF!="","",TEXT(#REF!," hh:mm:ss")&amp;"| "&amp;#REF!)</f>
        <v>#REF!</v>
      </c>
      <c r="F37" s="5"/>
      <c r="G37" s="5"/>
      <c r="H37" s="5"/>
    </row>
    <row r="38" spans="1:8" x14ac:dyDescent="0.25">
      <c r="A38" s="1">
        <v>36</v>
      </c>
      <c r="B38" s="7" t="e">
        <f>IF(AND(#REF!&lt;&gt;"",B37&lt;&gt;""),TEXT(TIMEVALUE(LEFT(B37,9))+0.000694444446708076*(2)," hh:mm:ss")&amp;"| "&amp;#REF!,"")</f>
        <v>#REF!</v>
      </c>
      <c r="C38" s="5" t="e">
        <f>IF(#REF!="","",TEXT(#REF!," hh:mm:ss")&amp;"| "&amp;#REF!)</f>
        <v>#REF!</v>
      </c>
      <c r="D38" s="5" t="e">
        <f>IF(#REF!="","",TEXT(#REF!," hh:mm:ss")&amp;"| "&amp;#REF!)</f>
        <v>#REF!</v>
      </c>
      <c r="E38" s="5"/>
      <c r="F38" s="5"/>
      <c r="G38" s="5"/>
      <c r="H38" s="5"/>
    </row>
  </sheetData>
  <sheetProtection selectLockedCells="1" selectUnlockedCells="1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Comparison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Garro, John Carlos</dc:creator>
  <cp:lastModifiedBy>John Carlos H. Garro</cp:lastModifiedBy>
  <dcterms:created xsi:type="dcterms:W3CDTF">2024-06-18T01:00:27Z</dcterms:created>
  <dcterms:modified xsi:type="dcterms:W3CDTF">2024-07-29T12:49:39Z</dcterms:modified>
</cp:coreProperties>
</file>